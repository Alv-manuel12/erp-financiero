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Comercial\COMPRAS\5 - SEGUIMIENTO DE COMPRAS\"/>
    </mc:Choice>
  </mc:AlternateContent>
  <xr:revisionPtr revIDLastSave="0" documentId="13_ncr:1_{23E8B15E-CF49-4787-A274-733DB3095BCA}" xr6:coauthVersionLast="47" xr6:coauthVersionMax="47" xr10:uidLastSave="{00000000-0000-0000-0000-000000000000}"/>
  <bookViews>
    <workbookView xWindow="-120" yWindow="-120" windowWidth="29040" windowHeight="15840" xr2:uid="{AC5C84EC-FD6B-400C-91E9-C7672259A4DC}"/>
  </bookViews>
  <sheets>
    <sheet name="ENTREGA PENDIENTE" sheetId="7" r:id="rId1"/>
    <sheet name="SEGUIMIENTO DE SOLICITUDES" sheetId="8" r:id="rId2"/>
    <sheet name="INDICADORES" sheetId="4" r:id="rId3"/>
  </sheets>
  <definedNames>
    <definedName name="DatosExternos_1" localSheetId="0" hidden="1">'ENTREGA PENDIENTE'!$B$1:$H$142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4" l="1"/>
  <c r="P7" i="4"/>
  <c r="P6" i="4"/>
  <c r="P5" i="4"/>
  <c r="J42" i="4"/>
  <c r="J41" i="4"/>
  <c r="J40" i="4"/>
  <c r="J35" i="4"/>
  <c r="J34" i="4"/>
  <c r="J33" i="4"/>
  <c r="J28" i="4"/>
  <c r="J27" i="4"/>
  <c r="J26" i="4"/>
  <c r="J21" i="4"/>
  <c r="J20" i="4"/>
  <c r="J19" i="4"/>
  <c r="J12" i="4"/>
  <c r="J5" i="4"/>
  <c r="J14" i="4"/>
  <c r="J13" i="4"/>
  <c r="J7" i="4"/>
  <c r="J6" i="4"/>
  <c r="D42" i="4"/>
  <c r="D41" i="4"/>
  <c r="D40" i="4"/>
  <c r="D35" i="4"/>
  <c r="D34" i="4"/>
  <c r="D33" i="4"/>
  <c r="D28" i="4"/>
  <c r="D27" i="4"/>
  <c r="D26" i="4"/>
  <c r="D19" i="4"/>
  <c r="D21" i="4"/>
  <c r="D20" i="4"/>
  <c r="D13" i="4"/>
  <c r="D14" i="4"/>
  <c r="D12" i="4"/>
  <c r="D7" i="4"/>
  <c r="D6" i="4"/>
  <c r="P8" i="4" l="1"/>
  <c r="Q6" i="4" s="1"/>
  <c r="J43" i="4"/>
  <c r="K41" i="4" s="1"/>
  <c r="D43" i="4"/>
  <c r="E41" i="4" s="1"/>
  <c r="J22" i="4"/>
  <c r="D29" i="4"/>
  <c r="E27" i="4" s="1"/>
  <c r="J15" i="4"/>
  <c r="K13" i="4" s="1"/>
  <c r="J8" i="4"/>
  <c r="K6" i="4" s="1"/>
  <c r="J36" i="4"/>
  <c r="J29" i="4"/>
  <c r="K27" i="4" s="1"/>
  <c r="D36" i="4"/>
  <c r="D15" i="4"/>
  <c r="E13" i="4" s="1"/>
  <c r="D22" i="4"/>
  <c r="E20" i="4" s="1"/>
  <c r="D8" i="4"/>
  <c r="Q7" i="4" l="1"/>
  <c r="Q5" i="4"/>
  <c r="E42" i="4"/>
  <c r="E28" i="4"/>
  <c r="E14" i="4"/>
  <c r="K26" i="4"/>
  <c r="E12" i="4"/>
  <c r="E35" i="4"/>
  <c r="E33" i="4"/>
  <c r="K12" i="4"/>
  <c r="E7" i="4"/>
  <c r="E5" i="4"/>
  <c r="K40" i="4"/>
  <c r="E6" i="4"/>
  <c r="K14" i="4"/>
  <c r="E19" i="4"/>
  <c r="E21" i="4"/>
  <c r="K33" i="4"/>
  <c r="K35" i="4"/>
  <c r="K21" i="4"/>
  <c r="K19" i="4"/>
  <c r="K28" i="4"/>
  <c r="E34" i="4"/>
  <c r="K42" i="4"/>
  <c r="K5" i="4"/>
  <c r="K7" i="4"/>
  <c r="K20" i="4"/>
  <c r="E26" i="4"/>
  <c r="K34" i="4"/>
  <c r="E40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56FCA65-F691-42D2-841B-3A1D4BEE50DC}" keepAlive="1" name="Consulta - 2026" description="Conexión a la consulta '2026' en el libro." type="5" refreshedVersion="8" saveData="1">
    <dbPr connection="Provider=Microsoft.Mashup.OleDb.1;Data Source=$Workbook$;Location=2026;Extended Properties=&quot;&quot;" command="SELECT * FROM [2026]"/>
  </connection>
</connections>
</file>

<file path=xl/sharedStrings.xml><?xml version="1.0" encoding="utf-8"?>
<sst xmlns="http://schemas.openxmlformats.org/spreadsheetml/2006/main" count="1188" uniqueCount="461">
  <si>
    <t>DESCRIPCIÓN</t>
  </si>
  <si>
    <t>PROVEEDOR</t>
  </si>
  <si>
    <t>PENDIENTE</t>
  </si>
  <si>
    <t>ENTREGADO</t>
  </si>
  <si>
    <t>ESTADO</t>
  </si>
  <si>
    <t>OBSERVACIONES</t>
  </si>
  <si>
    <t>FECHA REAL DE ENTREGA</t>
  </si>
  <si>
    <t>CUMPLIDA</t>
  </si>
  <si>
    <t>ATRASADA</t>
  </si>
  <si>
    <t>ESTADO DE ENTREGA</t>
  </si>
  <si>
    <t>CANT.</t>
  </si>
  <si>
    <t>CAUSA</t>
  </si>
  <si>
    <t>INTERNA</t>
  </si>
  <si>
    <t>EXTERNA</t>
  </si>
  <si>
    <t>-</t>
  </si>
  <si>
    <t>TOTAL OC</t>
  </si>
  <si>
    <t>INDICADOR</t>
  </si>
  <si>
    <t>PERIODO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</si>
  <si>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</si>
  <si>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</si>
  <si>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</si>
  <si>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</si>
  <si>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</si>
  <si>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</si>
  <si>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</si>
  <si>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</si>
  <si>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</si>
  <si>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</si>
  <si>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</si>
  <si>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</si>
  <si>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Terminales y punteras CASINO CLUB S-2025.052_Proy+15</t>
  </si>
  <si>
    <t>Gabinete 1050 ECOCONTROL S-2025.107</t>
  </si>
  <si>
    <t>TOTAL 2026</t>
  </si>
  <si>
    <t>Traffo ECO S-2025.107</t>
  </si>
  <si>
    <t>Adicionales NUBAN S-2025.029_Sh PTC LAJE</t>
  </si>
  <si>
    <t>Repartidor PAMPACO S-2025.107</t>
  </si>
  <si>
    <t>Cañerias HLADAN S-2025.111_CanHVAC+20</t>
  </si>
  <si>
    <t>PROYECTO</t>
  </si>
  <si>
    <t>FORLI</t>
  </si>
  <si>
    <t>LOMBARD</t>
  </si>
  <si>
    <t>PAMPACO</t>
  </si>
  <si>
    <t>Bandejas HLADAN S-2025.111_CanHVAC+20</t>
  </si>
  <si>
    <t>A recibir en el hipódromo
AGREGAR A SEGUIMIENTO</t>
  </si>
  <si>
    <t>Cable 70mm2 CASINO CLUB S-2025.052_Proy+15</t>
  </si>
  <si>
    <t>Cable 70mm2 LSOH S-2025.029_Sh PTC LAJE</t>
  </si>
  <si>
    <t>Despachado, pendiente a llegar</t>
  </si>
  <si>
    <t>A llegar semana del 12/01, coordinando log</t>
  </si>
  <si>
    <t>ABB S-2025.101</t>
  </si>
  <si>
    <t>Danfoss RDC S-2025.106</t>
  </si>
  <si>
    <t>ABACUS ENERGIA</t>
  </si>
  <si>
    <t>A RECIBIR EN EL HIPODROMO 9/01</t>
  </si>
  <si>
    <t>Recibido en tiempo y forma.</t>
  </si>
  <si>
    <t>ABB S-2025.107</t>
  </si>
  <si>
    <t xml:space="preserve">Bujes </t>
  </si>
  <si>
    <t>Bornes y elementos Phoenix RDC S-2025.106</t>
  </si>
  <si>
    <t>P4C</t>
  </si>
  <si>
    <t xml:space="preserve">Ciardi varios </t>
  </si>
  <si>
    <t>Ternium S-2025.116</t>
  </si>
  <si>
    <t>Arranque suave S-2025.101</t>
  </si>
  <si>
    <t>ELECTRICIDAD SERRANO</t>
  </si>
  <si>
    <t>Cable 1x1 alarmeros S-2025.029_Sh PTC LAJE</t>
  </si>
  <si>
    <t>Plazo de entrega muy ambicioso.</t>
  </si>
  <si>
    <t>Rittal</t>
  </si>
  <si>
    <t>Disyuntor de 40 TERNIUM S-2025.116_TT.Inox</t>
  </si>
  <si>
    <t>ELECTRICIDAD GALLARDO</t>
  </si>
  <si>
    <t>RITTAL S.A</t>
  </si>
  <si>
    <t>Ropa de Trabajo</t>
  </si>
  <si>
    <t>DUK</t>
  </si>
  <si>
    <t>Siemens Digital S-2025.106</t>
  </si>
  <si>
    <t>HY-TECH</t>
  </si>
  <si>
    <t>STOCK</t>
  </si>
  <si>
    <t>Adicional de cajas ABB S-2025.029_Sh PTC LAJE</t>
  </si>
  <si>
    <t>Siemens Aparamenta S-2025.106</t>
  </si>
  <si>
    <t>Terminales HAPSA</t>
  </si>
  <si>
    <t>Deberia llegar 24/01</t>
  </si>
  <si>
    <t>SU SEGURIDAD</t>
  </si>
  <si>
    <t>PILZ</t>
  </si>
  <si>
    <t>CASINO CLUB S-2025.052_Proy+15</t>
  </si>
  <si>
    <t>HAPSA S-2025.082_RefCocRab</t>
  </si>
  <si>
    <t>STOCK - CABLECANAL</t>
  </si>
  <si>
    <t>Retraso en el pago.</t>
  </si>
  <si>
    <t>Faltantes HLADAN +20</t>
  </si>
  <si>
    <t>Retraso por vacaciones de Luciano.</t>
  </si>
  <si>
    <t>Termocontraible hapsa</t>
  </si>
  <si>
    <t>Adicional de barras de cobre</t>
  </si>
  <si>
    <t>PAGANI</t>
  </si>
  <si>
    <t>Interruptores ABB</t>
  </si>
  <si>
    <t>DE-KONG</t>
  </si>
  <si>
    <t>Cable marron 2,5 + adicionales LAJE</t>
  </si>
  <si>
    <t>Fin de obra paris</t>
  </si>
  <si>
    <t xml:space="preserve">Recibido en tiempo y forma.
</t>
  </si>
  <si>
    <t>Recibido.</t>
  </si>
  <si>
    <r>
      <t xml:space="preserve">Retraso en el pedido debido a rotura de stock de CIARDI 
y atraso en reposición por HOYOS.
</t>
    </r>
    <r>
      <rPr>
        <sz val="11"/>
        <color rgb="FFFF0000"/>
        <rFont val="Calibri"/>
        <family val="2"/>
        <scheme val="minor"/>
      </rPr>
      <t>A despachar 10/02</t>
    </r>
  </si>
  <si>
    <r>
      <t xml:space="preserve">A entregar segunda semana de febrero
</t>
    </r>
    <r>
      <rPr>
        <sz val="11"/>
        <color rgb="FFFF0000"/>
        <rFont val="Calibri"/>
        <family val="2"/>
        <scheme val="minor"/>
      </rPr>
      <t>09/02 Terminado esta semana</t>
    </r>
  </si>
  <si>
    <t>Flexible + conector</t>
  </si>
  <si>
    <t>Falta jean de dama</t>
  </si>
  <si>
    <t>Traffo fallado 101 + Stock</t>
  </si>
  <si>
    <t>Debería llegar el 19/02</t>
  </si>
  <si>
    <t xml:space="preserve">SOPORTE ADICIONAL PAT </t>
  </si>
  <si>
    <r>
      <t xml:space="preserve">Entrega parcial 20/01
A completar el pedido semana 02/02
03/02 Llego restante del pedido, </t>
    </r>
    <r>
      <rPr>
        <sz val="11"/>
        <color rgb="FFFF0000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Falta 1274117 a llegar 10/02
18/02 Llego 1274117 faltante
</t>
    </r>
  </si>
  <si>
    <t>CABLECANAL RDC</t>
  </si>
  <si>
    <t>HOYOS</t>
  </si>
  <si>
    <t>Soportes y fusibles</t>
  </si>
  <si>
    <t>Barras de cobre RDC</t>
  </si>
  <si>
    <t xml:space="preserve">Cable 1x120 </t>
  </si>
  <si>
    <t>Se retiró por fabrica.</t>
  </si>
  <si>
    <t>19/02 Se despacho
23/02 Recibido con atraso debido a feriados y paro de camioneros</t>
  </si>
  <si>
    <t xml:space="preserve">23/02 Se retraso por error de Brana, deberian despachar 24/02 Entregado
</t>
  </si>
  <si>
    <t>ABB</t>
  </si>
  <si>
    <t>Mandos a distancia abb</t>
  </si>
  <si>
    <t>Se despacha 21/01
PARCIAL DE TERMICAS DE 16
29/01 En consultas con luciano por faltante
12/02 Llegaron 4 termicas mas, faltan 3
26/02</t>
  </si>
  <si>
    <t>24/02 A la espera de pago por despacho
27/02 Se despacha de HOYOS
La compra tuvo retraso por tema de pagos</t>
  </si>
  <si>
    <t>Cajas para HAPSA</t>
  </si>
  <si>
    <r>
      <t xml:space="preserve">23/02 A la espera del pago
26/02 El día 02/03 se despacha
</t>
    </r>
    <r>
      <rPr>
        <sz val="11"/>
        <color rgb="FFFF0000"/>
        <rFont val="Calibri"/>
        <family val="2"/>
        <scheme val="minor"/>
      </rPr>
      <t>02/03 Llega el 04/03</t>
    </r>
  </si>
  <si>
    <t>Remaches para cablecanal</t>
  </si>
  <si>
    <t>Cable 1x120 v/a adicional impo</t>
  </si>
  <si>
    <t>Adicionales RDC - Variador y siemens</t>
  </si>
  <si>
    <t>Soportes para riel-din</t>
  </si>
  <si>
    <t>19/02 Ya fue despachado, debería llegar 23/02
23/02 Llego un adelanto
10/03 Despacho del restante</t>
  </si>
  <si>
    <t>10/03 Despacho</t>
  </si>
  <si>
    <t>Cables RDC</t>
  </si>
  <si>
    <t>SELECTORAS 2 POSICIONES Y TOPES DE BORNE</t>
  </si>
  <si>
    <t>Recibido fuera de fecha por que se le traspapeló a brana.</t>
  </si>
  <si>
    <t>PRENSACABLES HAPSA</t>
  </si>
  <si>
    <t>Termocontraible RDC</t>
  </si>
  <si>
    <t>Conectores Ethernet</t>
  </si>
  <si>
    <t>Cable ethernet y guardamotores Siemens</t>
  </si>
  <si>
    <t>ELECTRIPOLO</t>
  </si>
  <si>
    <t xml:space="preserve">Termostato y punteras </t>
  </si>
  <si>
    <t>19/03 Falta el pago, se despacha mañan tambien?
20/03 Fue despachado</t>
  </si>
  <si>
    <r>
      <t xml:space="preserve">29/01 El dia 13/3 llega a deposito danfos
</t>
    </r>
    <r>
      <rPr>
        <sz val="11"/>
        <color rgb="FFFF0000"/>
        <rFont val="Calibri"/>
        <family val="2"/>
        <scheme val="minor"/>
      </rPr>
      <t>09/03 Llego a depósito, hablar con juan
El 10/03 se puede coordinar el retiro con el cheque
20/03 Retirado por Benavidez x SILICOM</t>
    </r>
    <r>
      <rPr>
        <sz val="11"/>
        <color theme="1"/>
        <rFont val="Calibri"/>
        <family val="2"/>
        <scheme val="minor"/>
      </rPr>
      <t xml:space="preserve">
</t>
    </r>
  </si>
  <si>
    <t>Se retraso por pagos
17/03 Se despacha mañana
20/03 Pedido entregado.</t>
  </si>
  <si>
    <t>19/03 Se despacha el 21/03
20/03 Fue despachado
23/03 Recibido, plazo de entrega muy ambicios</t>
  </si>
  <si>
    <t>23/03 Despachado por proveedor, seguir por VIACARGO 
999033893797</t>
  </si>
  <si>
    <t xml:space="preserve">Nº DE OC </t>
  </si>
  <si>
    <t xml:space="preserve">FECHA DE OC </t>
  </si>
  <si>
    <t>FECHA DE ENTREGA</t>
  </si>
  <si>
    <t>CIARDI HNOS</t>
  </si>
  <si>
    <t>ECO CONTROL S-2025.107</t>
  </si>
  <si>
    <t>ABB S-2025.029 Ph PTC LAJE</t>
  </si>
  <si>
    <t>IND. BÁSICA</t>
  </si>
  <si>
    <t>ECOCONTROL S-2025.107</t>
  </si>
  <si>
    <t>HLADAN S-2025.111_CanHVAC+20</t>
  </si>
  <si>
    <t>CASINO CLUB S-2025.052</t>
  </si>
  <si>
    <t xml:space="preserve">SERMATEL SA </t>
  </si>
  <si>
    <t>ABB S-2025.029_PTC LAJE</t>
  </si>
  <si>
    <t>VICBRIL INTERNACIONAL</t>
  </si>
  <si>
    <t>ECOCONTROL S-2025.101_T. V. Variadores</t>
  </si>
  <si>
    <t>ElectroMB</t>
  </si>
  <si>
    <t xml:space="preserve"> ECOCONTROL S-2025.107</t>
  </si>
  <si>
    <t>TAVERNA MARIO E HIJOS</t>
  </si>
  <si>
    <t>RDC S-2025.106_TE-NuEnv</t>
  </si>
  <si>
    <t>TERNIUM S-2025.116_TT.Inox</t>
  </si>
  <si>
    <t>BRANA HNOS.</t>
  </si>
  <si>
    <t>PROVISIÓN DE INDUMENTARIA</t>
  </si>
  <si>
    <t>STOCK HAPSA</t>
  </si>
  <si>
    <t>INTER SER S.p.A</t>
  </si>
  <si>
    <t>INDUMENTARIA - SILICOM</t>
  </si>
  <si>
    <t>STOCK - SILICOM</t>
  </si>
  <si>
    <t>HLADAN S-2025.111_CanHVAC +20</t>
  </si>
  <si>
    <t>ABB S-2025.029_Sh PTC LAJE</t>
  </si>
  <si>
    <t>ECO CONTROL S-2025.101 &amp; STOCK</t>
  </si>
  <si>
    <t>ABB S-2025.029_Sh PTC LAJE &amp; STOCK</t>
  </si>
  <si>
    <t>RDC S-2025.106 &amp; STOCK</t>
  </si>
  <si>
    <t>RELET SRL</t>
  </si>
  <si>
    <t>TERNIUM S-2025.116_TT.Inox &amp; ABB S-2025.029_Sh PTC LAJE &amp; ECOCONTROL S-2025.107</t>
  </si>
  <si>
    <t>03/02 Esperando que UW busque los pallets
04/02 El dia jueves 05/02 se realiza el pick up de UW 
x RITTAL
05/02 Pick up
10/02 Arribo a la frontera
13/02 Esperando liberación de frontera uruguay-arg
18/02 Deberia llegar hoy
20/02 Finalmente llego, demoras en importación, plazo de entrega ambicioso y demoras por feriado carnaval</t>
  </si>
  <si>
    <t>29/01 En consultas por llegada
30/01 Se envía el lunes 02/02 - podria recibirse 10/02
02/02 Cod seguimiento DHL: 7772139513
03/02 Sigue en china según DHL
04/02 Entrega estimada 13/02 según DHL
06/02 Ayer fue procesado en MIAMI
09/02 Ya fue procesado por la aduana ARG
11/02 Retenido en aduana, en conversaciones con despachante 
27/02 Se oficializó el CANAL VERDE
Puede llegar 03/03 o 04/03
02/03 Se esta procesando la guia, 48 hs habiles para que DHL tenga la liberacion y enviarlo a Silicom
03/03 Envio liberado llega entre 04/03 y 05/03
06/03 Recibido correctamente pero con demoras debido a problemas en la aduana por retencion e idas y vueltas</t>
  </si>
  <si>
    <r>
      <rPr>
        <sz val="11"/>
        <color theme="1"/>
        <rFont val="Calibri"/>
        <family val="2"/>
        <scheme val="minor"/>
      </rPr>
      <t xml:space="preserve">Hacer seguimiento 15/02
02/02 Pago enviado
23/02 Consulta por estado
</t>
    </r>
    <r>
      <rPr>
        <sz val="11"/>
        <color theme="1"/>
        <rFont val="Calibri"/>
        <family val="2"/>
        <scheme val="minor"/>
      </rPr>
      <t>25/02 El 27/02 envian packing list
03/03 En dhl, teoricamente deberia llegar puerta a puerta
12/03 Entregado</t>
    </r>
  </si>
  <si>
    <t>TGBT</t>
  </si>
  <si>
    <t>S-2026.016_TGBT-Env</t>
  </si>
  <si>
    <t>Adicionales RDC</t>
  </si>
  <si>
    <t>CEFEM Induestries</t>
  </si>
  <si>
    <t>CLIENTE: VARIOS</t>
  </si>
  <si>
    <t>CEFEM</t>
  </si>
  <si>
    <t>Cartuchos termocontraibles</t>
  </si>
  <si>
    <t>SOLUTEC</t>
  </si>
  <si>
    <t>INFRAESTRUCTURA</t>
  </si>
  <si>
    <t>Compu Administracion</t>
  </si>
  <si>
    <t>Adicional termocontraible</t>
  </si>
  <si>
    <r>
      <rPr>
        <sz val="11"/>
        <color theme="1"/>
        <rFont val="Calibri"/>
        <family val="2"/>
        <scheme val="minor"/>
      </rPr>
      <t xml:space="preserve">29/01 Esperando respuesta por parte de Ivo y Paolo por llegada
03/02 El plazo esta corriendo, esta semana nos envian actualizacion de estado
09/02 Semana del 17 van a actualizar
18/02 Posible fecha 15/03
24/02 Consulta por estado
04/03 El día 13/03 se envia pedido parcial
El restante del pedido llega a italia fines de marzo y llegaria a ARG primera semana de abril
17/03 Recibimos dimensiones, se esta evaluando logistica
19/03 Disponible para retirar en Sassuolo
</t>
    </r>
    <r>
      <rPr>
        <sz val="11"/>
        <color rgb="FFFF0000"/>
        <rFont val="Calibri"/>
        <family val="2"/>
        <scheme val="minor"/>
      </rPr>
      <t>30/03 Llega el pedido a argentina
06/04 Se oficializo canal verde, llega mañana 07
07/04 Se recibio correctamente pero muy atrasado debido a incumplimiento tanto de INTERSER como de sus proveedores.</t>
    </r>
  </si>
  <si>
    <r>
      <rPr>
        <sz val="11"/>
        <color theme="1"/>
        <rFont val="Calibri"/>
        <family val="2"/>
        <scheme val="minor"/>
      </rPr>
      <t xml:space="preserve">29/01 Llega con el otro pedido de interser, esperando respuesta de Ivo y Paolo
03/02 El plazo esta corriendo, esta semana nos envian actualizacion de estado
09/02 Semana del 17 van a actualizar 
18/02 Posible fecha 15/03
24/02 Consulta por estado
04/03 El día 13/03 se envia pedido parcial
</t>
    </r>
    <r>
      <rPr>
        <sz val="11"/>
        <color rgb="FFFF0000"/>
        <rFont val="Calibri"/>
        <family val="2"/>
        <scheme val="minor"/>
      </rPr>
      <t>30/03 Llega el pedido a argentina
30/03 Seguir por DHL 5831643473 items restantes del pedido
06/04 Se oficializo canal verde, llega mañana 07
07/04 Se recibio correctamente pero muy atrasado debido a incumplimiento tanto de INTERSER como de sus proveedores.</t>
    </r>
  </si>
  <si>
    <t>09/04 Recibido correctamente</t>
  </si>
  <si>
    <t xml:space="preserve">Adicional cables </t>
  </si>
  <si>
    <t>T.REU S-2025.104_TES-CamPC</t>
  </si>
  <si>
    <t>Gabinetes tecnicas reunidas</t>
  </si>
  <si>
    <t>Adicional termocontraibles</t>
  </si>
  <si>
    <r>
      <t xml:space="preserve">26/02 Consultar por cortar plazos
Se esta atrasando por atraso en la confirmación de pagos pendientes
02/03 La cuenta sigue bloqueda
03/03 Compra aceptada, en conversaciones por plazos
05/03 Juan arca dice que la fecha es 11/04, deberian ajustarse a los plazos
05/03 Plazos mejorados a 25/03
13/03 Vamos acorde a los plazos establecidos
</t>
    </r>
    <r>
      <rPr>
        <sz val="11"/>
        <color rgb="FFFF0000"/>
        <rFont val="Calibri"/>
        <family val="2"/>
        <scheme val="minor"/>
      </rPr>
      <t xml:space="preserve">25/03 Debe una parte llegar sem del 06 </t>
    </r>
    <r>
      <rPr>
        <sz val="11"/>
        <color theme="1"/>
        <rFont val="Calibri"/>
        <family val="2"/>
        <scheme val="minor"/>
      </rPr>
      <t xml:space="preserve">
06/04 Según ABB, en esta semana tiene que estar llegando el restante del pedido a ARG, a entregar el 13
09/04 Recibimos primera parte del pedido, restante a entregar supuestamente semana del 13
15/04 Recibido correctamente, se atraso culpa de abb por hacer dos despachos
</t>
    </r>
  </si>
  <si>
    <t>S-2025.114_Ref+7+11</t>
  </si>
  <si>
    <t>Cable subterraneo 3x1,5</t>
  </si>
  <si>
    <t>Aparamenta ABB todos los tableros</t>
  </si>
  <si>
    <t>Aparamenta restante ABB</t>
  </si>
  <si>
    <t>Materiales STOCK</t>
  </si>
  <si>
    <t>20/04 Se entrega mañana en el hipódromo
21/04 Recibido en tiempo y forma.</t>
  </si>
  <si>
    <t>Plaquetas adhesivas para precintos</t>
  </si>
  <si>
    <t>Prensacables, aisladores y soportes T.REU</t>
  </si>
  <si>
    <t>Insumos para rotulacion y maquina</t>
  </si>
  <si>
    <t>S-2026.016_TGBT-Env &amp; T.REU S-2025.104_TES-CamPC</t>
  </si>
  <si>
    <t>TM METALES</t>
  </si>
  <si>
    <t>Barras de cobre TGBT y TREU</t>
  </si>
  <si>
    <t>Materiales grales TREU</t>
  </si>
  <si>
    <r>
      <rPr>
        <sz val="11"/>
        <color theme="1"/>
        <rFont val="Calibri"/>
        <family val="2"/>
        <scheme val="minor"/>
      </rPr>
      <t>20/03 Posiblemente se despache el dia Lunes 23/03 a llegar 25 o 26. CUANDO LLEGUE CAMBIAR SELECTORAS POR LAS TIPO TERMICA</t>
    </r>
    <r>
      <rPr>
        <sz val="11"/>
        <color rgb="FFFF0000"/>
        <rFont val="Calibri"/>
        <family val="2"/>
        <scheme val="minor"/>
      </rPr>
      <t xml:space="preserve">
26/03 Llego un parcial, se devolvieron las selectoras
Faltan los marcadores de regletas y 300 punteras de 0,5
27/04 Llegaron los marcadores tarde por error de CIARDI</t>
    </r>
  </si>
  <si>
    <t>23/04 Se despachan 24/04, llegan con faltantes de 1980 KLM-A 
24/04 Llego un parcial de 100 por error de CIARDI
27/04 Recidibido</t>
  </si>
  <si>
    <t>Recibido parcial.</t>
  </si>
  <si>
    <t>Cartucho de 9 adicional</t>
  </si>
  <si>
    <t>Cartucho de 5 adicional</t>
  </si>
  <si>
    <t>Golpe de puño + aparamenta faltante ABB</t>
  </si>
  <si>
    <t>Borneras grandes + Cable de 1x1 RDC</t>
  </si>
  <si>
    <t>29/04 Se despacha el 04/05</t>
  </si>
  <si>
    <r>
      <rPr>
        <sz val="11"/>
        <color theme="1"/>
        <rFont val="Calibri"/>
        <family val="2"/>
        <scheme val="minor"/>
      </rPr>
      <t xml:space="preserve">23/03 Ver con MyDHL
26/03 No hay respuesta por parte de RITTAL
</t>
    </r>
    <r>
      <rPr>
        <sz val="11"/>
        <color rgb="FFFF0000"/>
        <rFont val="Calibri"/>
        <family val="2"/>
        <scheme val="minor"/>
      </rPr>
      <t>27/03 RITTAL nos respondio, estamos esperando que su equipo de logistica nos informe sobre las dimensiones del equipo para poder cotizar el transporte con DHL
30/03 Packing list mañana
17/04 Retrasado a coordinar con OC1983
30/04 El martes 05/05 se levanta el pedido junto con 1984</t>
    </r>
  </si>
  <si>
    <t>04/05 Recibido en tiempo y forma.</t>
  </si>
  <si>
    <t>Holcim</t>
  </si>
  <si>
    <t>Faltan fotocelulas</t>
  </si>
  <si>
    <t>23/04 Estiman que llegara el 06/04 según pampaco
06/05 El viernes 08/05 despachan el pedido, a recibir en silicom dia lunes/martes</t>
  </si>
  <si>
    <r>
      <t xml:space="preserve">30/04 El lunes 04/05 se despacha el material
</t>
    </r>
    <r>
      <rPr>
        <sz val="11"/>
        <color rgb="FFFF0000"/>
        <rFont val="Calibri"/>
        <family val="2"/>
        <scheme val="minor"/>
      </rPr>
      <t>05/05 Se despacha el material
06/05 En viaje</t>
    </r>
    <r>
      <rPr>
        <sz val="11"/>
        <color theme="1"/>
        <rFont val="Calibri"/>
        <family val="2"/>
        <scheme val="minor"/>
      </rPr>
      <t xml:space="preserve">
07/05 Recibido en tiempo y forma</t>
    </r>
  </si>
  <si>
    <t>2 Traffo de corriente</t>
  </si>
  <si>
    <r>
      <t xml:space="preserve">26/03 Esperando avances de parte de CEFEM
</t>
    </r>
    <r>
      <rPr>
        <sz val="11"/>
        <color rgb="FFFF0000"/>
        <rFont val="Calibri"/>
        <family val="2"/>
        <scheme val="minor"/>
      </rPr>
      <t>30/03 Consultar plazos 08/04</t>
    </r>
    <r>
      <rPr>
        <sz val="11"/>
        <color theme="1"/>
        <rFont val="Calibri"/>
        <family val="2"/>
        <scheme val="minor"/>
      </rPr>
      <t xml:space="preserve">
15/04 La fecha de despacho es el 28/04
24/04 Tiene fecha de salida 30/04 y llega a arg el 03/05, ya se esta encargando UW de la logística.
07/05 Salio CANAL VERDE, a entregar en olav sabado o lunes
08/05 Se recibio correctamente, llegó tarde por demoras en la programacion de vuelo, plazo un poco ambicioso tambien.</t>
    </r>
  </si>
  <si>
    <r>
      <t xml:space="preserve">Hacer seguimiento 22/03
</t>
    </r>
    <r>
      <rPr>
        <sz val="11"/>
        <rFont val="Calibri"/>
        <family val="2"/>
        <scheme val="minor"/>
      </rPr>
      <t xml:space="preserve">Consultar 12/03 si se requiere adelanto o pago completo para no comprometer las 6 semanas
27/03 Pago hecho
30/03 Consultar prox semana como estamos con los plazos
</t>
    </r>
    <r>
      <rPr>
        <sz val="11"/>
        <color rgb="FFFF0000"/>
        <rFont val="Calibri"/>
        <family val="2"/>
        <scheme val="minor"/>
      </rPr>
      <t>06/04 Consulta por seguimiento, esperando comentarios</t>
    </r>
    <r>
      <rPr>
        <sz val="11"/>
        <color theme="1"/>
        <rFont val="Calibri"/>
        <family val="2"/>
        <scheme val="minor"/>
      </rPr>
      <t xml:space="preserve">
08/04 El 20 de abril habria que consultar si recibieron el variador y despachan
21/04 Mañana el chino puede mandar Variador, contactor y pilz
22/04 Dennis mando la documentación y despacha el paquete
23/04 Seguir via DHL por 5742366556
</t>
    </r>
    <r>
      <rPr>
        <sz val="11"/>
        <color rgb="FFFF0000"/>
        <rFont val="Calibri"/>
        <family val="2"/>
        <scheme val="minor"/>
      </rPr>
      <t>28/04 Canal rojo, demoras por inspección por parte de la aduana
07/05 Segunda parte del pedido por 4686840211
08/05 Carga liberada
08/05 La primera parte ya paso a andreani, tendria que llegar 12/05
13/05 Recibimos primera parte del pedido</t>
    </r>
  </si>
  <si>
    <t xml:space="preserve">Materiales etapa 2 </t>
  </si>
  <si>
    <t>4 Traffo de corriente</t>
  </si>
  <si>
    <t>20/05 Recibido en tiempo y forma.</t>
  </si>
  <si>
    <t>Aparamenta para arrancar TR</t>
  </si>
  <si>
    <t>26/05 Recibido en tiempo y forma</t>
  </si>
  <si>
    <t>FERCOR</t>
  </si>
  <si>
    <t>Cable de 4mm rojo y regletas para stock</t>
  </si>
  <si>
    <t>Cables faltantes para tableros TR</t>
  </si>
  <si>
    <t>Arandelas p TGBT</t>
  </si>
  <si>
    <t>Seccionador y fusibles</t>
  </si>
  <si>
    <t>18/05 Teoricamente el 23/05 llegaria al pais
28/05 Recibido en el hipodromo, se demoró por que nos olvidamos de agregar 1 seccionador y no se coordino la logistica a tiempo.</t>
  </si>
  <si>
    <t>28/05 Recibido en tiempo y forma.</t>
  </si>
  <si>
    <t>Repartidores adicionales</t>
  </si>
  <si>
    <t>Barras adicionales para TR y TGBT</t>
  </si>
  <si>
    <t>Recibido correctamente pero tarde por demora en el pago.</t>
  </si>
  <si>
    <t>23/04 Estan esperando el pago para poder avanzar
24/04 Estamos esperando para hacer el pago por si se agregan mas items al pedido
24/04 Se hizo el pago
08/05 El chino nos informa que la semana que viene puede tener avances y fecha de despacho
13/05 Estimamos el miercoles poder levantar la carga
19/05 Cambio de agente
20/05 Apuntan a embarcar el sabado
26/05 Hacer seguimiento por 4076920341 DHL
03/06 Se retira mañana por deposito fiscal
04/06 Recibido correctamente</t>
  </si>
  <si>
    <r>
      <t xml:space="preserve">23/04 Las bandejas van a estar en 10/15 dias
30/04 Consulta a luciano por llegada de bandejas
05/05 Consulta a luciano por llegada de bandejas nuevamente
08/05 Miercoles 13 se despachan las bandejas, la fecha de entrega de los gabinetes es alrededor del 20
13/05 7mo tablero prioritario incluido dentro de la primera tanda a entregarse semana del 20 al 25. Pedido completo a mediados de junio
</t>
    </r>
    <r>
      <rPr>
        <sz val="11"/>
        <rFont val="Calibri"/>
        <family val="2"/>
        <scheme val="minor"/>
      </rPr>
      <t xml:space="preserve">14/05 Recibimos adelantos para TILU-1
MOD-2E
MOD-2F
SDB-6A
SDB-2
SDB-5
</t>
    </r>
    <r>
      <rPr>
        <sz val="11"/>
        <color theme="1"/>
        <rFont val="Calibri"/>
        <family val="2"/>
        <scheme val="minor"/>
      </rPr>
      <t xml:space="preserve">27/05  Entre lunes y martes deberiamos tener los 7 gab principales completos
02/06 Se reciben los primeros 4 gabinetes, proximos 3 salen mañana a logistica
03/06 Recibidos 3 gabinetes faltantes por logistica propia
</t>
    </r>
    <r>
      <rPr>
        <sz val="11"/>
        <color rgb="FFFF0000"/>
        <rFont val="Calibri"/>
        <family val="2"/>
        <scheme val="minor"/>
      </rPr>
      <t>09/06 Recibido adelanto de bandejas x gabinetes faltantes - SDB-6</t>
    </r>
  </si>
  <si>
    <t>Arandelas tensoras para TGBT</t>
  </si>
  <si>
    <t>Barras de cobre adicional para TR no prioritarios</t>
  </si>
  <si>
    <t>Cablecanales para TR no prioritarios</t>
  </si>
  <si>
    <t>Cable 5x1,5 adic p/ cambio a RGBW +7+11</t>
  </si>
  <si>
    <t>9 de Julio S-2026.039_InHonVMOS</t>
  </si>
  <si>
    <t>FUSIONNET</t>
  </si>
  <si>
    <t>Bobinas de UTP y conectores</t>
  </si>
  <si>
    <t>Patch cords</t>
  </si>
  <si>
    <t>Cables para sala RIO 1,2,3 y SDC</t>
  </si>
  <si>
    <t>EPLAN</t>
  </si>
  <si>
    <t>Proyecto: Renovación EPLAN 2026</t>
  </si>
  <si>
    <t>Licencia EPLAN 2 usuarios</t>
  </si>
  <si>
    <t>Bornes Siemens para TGBT</t>
  </si>
  <si>
    <t>RDC S-2026.016_TGBT-Env</t>
  </si>
  <si>
    <t>18/06 Se despacha hoy llega mañana</t>
  </si>
  <si>
    <t xml:space="preserve">CIARDI HNOS </t>
  </si>
  <si>
    <t>Materiales grales para 9 de julio</t>
  </si>
  <si>
    <t>18/06 Recibido en tiempo y forma.</t>
  </si>
  <si>
    <t>19/06 Recibido en tiempo y forma</t>
  </si>
  <si>
    <t>18/06 Se despacha hoy, tiene que llegar mañana al hipodromo
19/06 Recibido en tiempo y forma</t>
  </si>
  <si>
    <t>Cable 1x95 p/ T.REU</t>
  </si>
  <si>
    <t>22/06 Recibido en tiempo y forma.</t>
  </si>
  <si>
    <t>18/06 Se despacha mañana, tiene que llegar el lunes
22/06 Recibido en tiempo y forma.</t>
  </si>
  <si>
    <t>Materiales para stock Phoenix Contact</t>
  </si>
  <si>
    <t>18/06 Estará listo mañana, coordinar con marcos
19/06 Seguir por 999036260629 Via cargo
22/06 Recibido en tiempo y forma</t>
  </si>
  <si>
    <t>Pedido adicional de barras para TR</t>
  </si>
  <si>
    <t>24/06 Recibido en tiempo y forma.</t>
  </si>
  <si>
    <r>
      <t xml:space="preserve">23/04 En conversacion por confirmacion de fecha 7/05
</t>
    </r>
    <r>
      <rPr>
        <sz val="11"/>
        <color rgb="FFFF0000"/>
        <rFont val="Calibri"/>
        <family val="2"/>
        <scheme val="minor"/>
      </rPr>
      <t>30/04 La mayoria del pedido deberia completarse el 14/05 con entregas el 08/05
26/05 Recibido mayoria, faltan 2 items completar
25/06 Recibimos los ultimos items del pedido, la mayoría llegó con 2 o 3 semanas de atraso, los ultimos items 45 dias de atraso.</t>
    </r>
  </si>
  <si>
    <t>9 de Julio S-2026.039_InHonVMOS &amp; T.REU S-2025.104_TES-CamPC</t>
  </si>
  <si>
    <t>Cables adicionales para 9 de julio y TR</t>
  </si>
  <si>
    <t>Recibido en tiempo y forman.</t>
  </si>
  <si>
    <t>17/06 Llegada de cablecanales 40x80
29/06 Pedido completo</t>
  </si>
  <si>
    <t>T.REU S-2025.104_TES-CamPC &amp; Materiales STOCK</t>
  </si>
  <si>
    <t xml:space="preserve"> T.REU S-2025.104_TES-CamPC</t>
  </si>
  <si>
    <t>Repartidores para stock y TR</t>
  </si>
  <si>
    <t>Tapa ciegas para termicas</t>
  </si>
  <si>
    <t>Arandelas tensoras para TR</t>
  </si>
  <si>
    <r>
      <t xml:space="preserve">10/04 Hoy se hizo el pago, hay items con 25 dias de plazo. Estamos en conversaciones con Rittal para hacer dos envios, lo ideal sería uno
13/04 No hay respuesta de Rittal
15/04 Estamos en conversaciones 
17/04 Rittal esta dimensionando el pedido, luego hablar con UW
23/04 Ya se le hizo llegar a UW la solicitud para que gestionen la logística
24/04 Esperando avances por parte de UW, quedan pendientes items 12,45,53 y 54
</t>
    </r>
    <r>
      <rPr>
        <sz val="11"/>
        <color rgb="FFFF0000"/>
        <rFont val="Calibri"/>
        <family val="2"/>
        <scheme val="minor"/>
      </rPr>
      <t xml:space="preserve">30/04 Rittal le informo a nuestro agente que el martes 05/05 se puede levantar el pedido
</t>
    </r>
    <r>
      <rPr>
        <sz val="11"/>
        <color theme="1"/>
        <rFont val="Calibri"/>
        <family val="2"/>
        <scheme val="minor"/>
      </rPr>
      <t>04/05 Solicitamos que el pedido se levante el lunes 04/05,debido al feriado del viernes 1/05 UW dice que no pudo coordinar logistica para retirar el dia lunes, acordaron levantar el martes 05
05/05 Por cuestiones internas rittal solicito cargar el dia 06, intervenimos y suplicamos que carguen el 05, UW brasil dice que cargara el 06
06/06 Se cargo correctamente. Camión en camino, esperan llegar a la frontera lunes 11
12/05 La carga esta en la frontera (se perdio un dia)
13/05 Canal verde 
14/05 Carga liberada, prometen entregar mañana a primera hora (2 dias perdidos)
16/05 Se recibio casi la totalidad, faltando 9674990 y 9682161
09/06 Items faltantes a recibir por rittal el día 12/06, coordinar logistica para 15/06
18/06 Seguimiento por DHL 7293443150 Miercoles 24/06
30/06 Canal verde y despacho de Pensini en VW, llegada a Silicom dia 1/07
01/07 Recibido items finales</t>
    </r>
  </si>
  <si>
    <t>CASINO CLUB S-2026.040_HVAC+7</t>
  </si>
  <si>
    <t>Terminales para Campo Casino Club +7</t>
  </si>
  <si>
    <t>Casino Club S-2026.040_HVAC+7</t>
  </si>
  <si>
    <t>ATECO CABLES</t>
  </si>
  <si>
    <t>Gabinetes GENROD para Casino +7</t>
  </si>
  <si>
    <t>Cable 1x70 para T.REU</t>
  </si>
  <si>
    <t>Cables de campo para Casino Club+7</t>
  </si>
  <si>
    <t>Bandejas para campo Casino Club +7</t>
  </si>
  <si>
    <t>9 de Julio S-2026.051_TSSAA-OTASA</t>
  </si>
  <si>
    <t>Gabinete para proyecto 9 de julio</t>
  </si>
  <si>
    <t>Recibido tarde por atraso de ciardi.</t>
  </si>
  <si>
    <t>AESA VMOS S-2026.046</t>
  </si>
  <si>
    <t>Gabinetes para proyecto AESA</t>
  </si>
  <si>
    <t>Tapas y hembra para Casino</t>
  </si>
  <si>
    <t>Aparamenta para Gabinetes AESA</t>
  </si>
  <si>
    <t>MATERIALES STOCK</t>
  </si>
  <si>
    <t>Luminarias para taller</t>
  </si>
  <si>
    <t>Rev.01</t>
  </si>
  <si>
    <t>Falta mas de 15 dias para la fecha de entrega</t>
  </si>
  <si>
    <t>Faltan entre 7 y 15 dias para la fecha de entrega</t>
  </si>
  <si>
    <t>Faltan menos de 7 dias para la fecha de entrega</t>
  </si>
  <si>
    <t>Orden pasada de plazo</t>
  </si>
  <si>
    <t>Cables para Casino Club +7</t>
  </si>
  <si>
    <t>14/07 Se abonó la factura, coordinando despacho</t>
  </si>
  <si>
    <t>Cable UTP p/ trabajo adicional 9 de Julio</t>
  </si>
  <si>
    <t>Cable 2x2.5 subterraneo p/ trabajo adicional 9 de Julio</t>
  </si>
  <si>
    <t>Cables de sonido y grales p/ trabajo adicional 9 de Julio</t>
  </si>
  <si>
    <t>Ecocontrol S-2026.056_T.Ecomon</t>
  </si>
  <si>
    <t>Cables de 1x1 para ecocontrol</t>
  </si>
  <si>
    <t>ANULADA</t>
  </si>
  <si>
    <t>17/07 Orden de compra retrasada por falta de pago, no era prioritaria</t>
  </si>
  <si>
    <t>16/07 Se recibio correctamente pero tarde por atraso de Ind. Básica</t>
  </si>
  <si>
    <t>15/07  Recibido en tiempo y forma.</t>
  </si>
  <si>
    <t>PARCIAL</t>
  </si>
  <si>
    <t>16/07 Hoy se despachan los gabinetes, llegan dia lunes
207/07 Recibido en tiempo y forma.</t>
  </si>
  <si>
    <t>17/07 Despachado a retirar en logistica VW sabado 18
20/07 Recibido en tiempo y forma</t>
  </si>
  <si>
    <t>17/07 Despachado
20/07 Recibido en tiempo y forma</t>
  </si>
  <si>
    <t>Proyecto</t>
  </si>
  <si>
    <t>Solicitud</t>
  </si>
  <si>
    <t>Estado</t>
  </si>
  <si>
    <t>Notas</t>
  </si>
  <si>
    <t>PROVISIÓN Nº0278</t>
  </si>
  <si>
    <t>PROVISIÓN Nº0279</t>
  </si>
  <si>
    <t>PROVISIÓN Nº0282</t>
  </si>
  <si>
    <t>PROVISIÓN Nº0283</t>
  </si>
  <si>
    <t>PROVISIÓN Nº0284</t>
  </si>
  <si>
    <t>PROVISIÓN Nº0285</t>
  </si>
  <si>
    <t>PROVISIÓN Nº0286</t>
  </si>
  <si>
    <t>PROVISIÓN Nº0287</t>
  </si>
  <si>
    <t>COTIZACIÓN Nº0268</t>
  </si>
  <si>
    <t>COTIZACIÓN Nº0270</t>
  </si>
  <si>
    <t>COTIZACIÓN Nº0271</t>
  </si>
  <si>
    <t>COTIZACIÓN Nº0272</t>
  </si>
  <si>
    <t>COTIZACIÓN Nº0273</t>
  </si>
  <si>
    <t>COTIZACIÓN Nº0274</t>
  </si>
  <si>
    <t>Gabinetes Schneider</t>
  </si>
  <si>
    <t>ABB S-2026.060_SE5YPF</t>
  </si>
  <si>
    <t>PAE S-2026.061_T.A.A.S.E2</t>
  </si>
  <si>
    <t>Aparamenta ABB</t>
  </si>
  <si>
    <t>ORMAZABAL S-2026.062_T.1000A</t>
  </si>
  <si>
    <t>TECNICAS REUNIDAS S-2026.064_CajasConex</t>
  </si>
  <si>
    <t>CAGNOLI S-2026.045_T.BombasT</t>
  </si>
  <si>
    <t>Material de rotulación p-stock</t>
  </si>
  <si>
    <t>Compras hechas y recibidas</t>
  </si>
  <si>
    <t>Compras hechas</t>
  </si>
  <si>
    <t>Esperando respuesta de P4C para comprar en CIARDI</t>
  </si>
  <si>
    <t>Proveedor 1</t>
  </si>
  <si>
    <t>Proveedor 2</t>
  </si>
  <si>
    <t>Proveedor 3</t>
  </si>
  <si>
    <t>CIARDI</t>
  </si>
  <si>
    <t>HYTECH</t>
  </si>
  <si>
    <t>GALLARDO</t>
  </si>
  <si>
    <t>LISTA DE PRECIOS</t>
  </si>
  <si>
    <t>TIANYIDA</t>
  </si>
  <si>
    <t>JOTOTECH</t>
  </si>
  <si>
    <t>TACO CALPINI</t>
  </si>
  <si>
    <t>THE EX ZONE</t>
  </si>
  <si>
    <t>Finalizado</t>
  </si>
  <si>
    <t>En Proceso</t>
  </si>
  <si>
    <t>VICBRIL</t>
  </si>
  <si>
    <t>ATECO</t>
  </si>
  <si>
    <t>21/07 Recibido en tiempo y forma.</t>
  </si>
  <si>
    <t>COTIZACIÓN Nº0275</t>
  </si>
  <si>
    <t>PAE S-2026.058_TEBT-EC&amp;A</t>
  </si>
  <si>
    <t>DI METALLO</t>
  </si>
  <si>
    <t>MOREDO</t>
  </si>
  <si>
    <t>17/07 Lo trae ciardi el 23/07
23/07 Recibido en tiempo y forma</t>
  </si>
  <si>
    <t>16/07 Faltan llegar 4 items
3,4,9,11
24/07 Falta llegar el organizador (Item3)</t>
  </si>
  <si>
    <t>COTIZACIÓN Nº0276</t>
  </si>
  <si>
    <t>Ecocontrol S-2026.065_T.Ecomon</t>
  </si>
  <si>
    <t>MATCOM</t>
  </si>
  <si>
    <t>RELET</t>
  </si>
  <si>
    <t>VALOR OC</t>
  </si>
  <si>
    <t>25/07 Recolectado en tiempo y forma por logistica VW</t>
  </si>
  <si>
    <t>Proveedor 4</t>
  </si>
  <si>
    <t>RELET no trabaja esos cables mallados, Cables cotizados por Vicbril</t>
  </si>
  <si>
    <t>Gabinete para proyecto Cagnoli</t>
  </si>
  <si>
    <t>Proveedor 5</t>
  </si>
  <si>
    <t>CHINOS</t>
  </si>
  <si>
    <t>FUSSIONET</t>
  </si>
  <si>
    <t>24/07 Se atrasó por que se les traspapeló el envio a vicbril
28/07 Recibido correctamente</t>
  </si>
  <si>
    <t>PROVISIÓN Nº0288</t>
  </si>
  <si>
    <t>PROVISIÓN Nº0289</t>
  </si>
  <si>
    <t>AESA S-2026.055_TGBT-ALLEN</t>
  </si>
  <si>
    <t>Proveedor 6</t>
  </si>
  <si>
    <t xml:space="preserve">METAL DESIGN </t>
  </si>
  <si>
    <t>Se agregó otro gabinete, aguardando presupuestos - Forli no cotiza estos gabinetes</t>
  </si>
  <si>
    <t>Compras hechas
 30/07 Hubo un adicional</t>
  </si>
  <si>
    <t>SERRANO</t>
  </si>
  <si>
    <t>31/07 Tiene que llegar hoy</t>
  </si>
  <si>
    <t>COTIZACIÓN Nº0277</t>
  </si>
  <si>
    <t>COTIZACIÓN Nº0278</t>
  </si>
  <si>
    <t>PAE S-2026.067_GabP.IEAPO</t>
  </si>
  <si>
    <t>AESA FIBRA OPTICA</t>
  </si>
  <si>
    <t>Aguardando rta de fusionnet</t>
  </si>
  <si>
    <t>DIGI-KEY</t>
  </si>
  <si>
    <t>Aparamenta para OTASA y Casino Club</t>
  </si>
  <si>
    <t>Aisladores para varios proy y repartidores STOCK</t>
  </si>
  <si>
    <t>Variador de frecuencia Cagnoli</t>
  </si>
  <si>
    <t>Tablero AESA ALLEN</t>
  </si>
  <si>
    <t>31/07 Tiene que llegar hoy
03/08 Recibido en tiempo y forma.</t>
  </si>
  <si>
    <t>03/08 Recibido en tiempo y forma.</t>
  </si>
  <si>
    <t>COTIZACIÓN Nº0279</t>
  </si>
  <si>
    <t>Materiales Etapa 3 para Casino Club</t>
  </si>
  <si>
    <t xml:space="preserve">Materiales para stock </t>
  </si>
  <si>
    <t>Conectores y pinzas para 9 de julio</t>
  </si>
  <si>
    <t>Aparamenta Cagnoli y Ormazabal</t>
  </si>
  <si>
    <t>Disyuntor de 4x25 y mat varios</t>
  </si>
  <si>
    <t>Cables de 25 y 35 para OTASA</t>
  </si>
  <si>
    <t>(100) 9 de Julio S-2026.051_TSSAA-OTASA &amp; (0) Casino Club S-2026.040_HVAC+7</t>
  </si>
  <si>
    <t>(34) CAGNOLI S-2026.045_T.BombasT &amp; (66) ORMAZABAL S-2026.062_T.1000A</t>
  </si>
  <si>
    <t>06/07 Recibido en tiempo y forma.</t>
  </si>
  <si>
    <t>06/08 Recibidas las bandejas</t>
  </si>
  <si>
    <t>17/07 Despachado
20/07 Recibido en tiempo y forma
Faltan conectores BAW hasta primer semana de agosto
06/08 Recibido completo</t>
  </si>
  <si>
    <t>Materiales adicionales AESA</t>
  </si>
  <si>
    <t>Materiales de rotulación para STOCK</t>
  </si>
  <si>
    <t>PROVISIÓN Nº0290</t>
  </si>
  <si>
    <t>PAE S-2026.041_APOyCASE</t>
  </si>
  <si>
    <t>CISCO</t>
  </si>
  <si>
    <t>Techint S-2026.068_TGN-TTY-LCA</t>
  </si>
  <si>
    <t>COTIZACIÓN Nº0280</t>
  </si>
  <si>
    <t>ABB S-2026.066_TT600V-Che</t>
  </si>
  <si>
    <t>FORLI ESTIMADO</t>
  </si>
  <si>
    <t xml:space="preserve">SYMNET </t>
  </si>
  <si>
    <t>Se estimó el precio de los gabinetes en base a un proyecto viejo, precio de terminales grandes cotizado con SYMNET</t>
  </si>
  <si>
    <t>Aguardando forli gabinete
06/08 Se agrandó el gabinete y se re-cotizó con Forli</t>
  </si>
  <si>
    <t>No se compro nada</t>
  </si>
  <si>
    <t>Forli comprado, aparamenta comprada HY-TECH / DE-KONG</t>
  </si>
  <si>
    <t>Cliente provee materiales
06/08 Se agrandó el proyecto, materiales comprados</t>
  </si>
  <si>
    <t>Cablecanales para Ecocontrol y Stock</t>
  </si>
  <si>
    <t>INI S-2026.056_T ECOMON</t>
  </si>
  <si>
    <t>(42) INI S-2026.056_T ECOMON &amp; (68) Materiales STOCK</t>
  </si>
  <si>
    <t>(73) INI S-2026.056_T ECOMON &amp; (27) Materiales STOCK</t>
  </si>
  <si>
    <t>Cables para tableros Ecocontrol</t>
  </si>
  <si>
    <t>17/07 En consultas por llegada
28/07 Tiene para 10 días mas
10/08 Recibido correctamente</t>
  </si>
  <si>
    <t>10/08 Recibido en tiempo y forma.</t>
  </si>
  <si>
    <t>16/07 Adelanto de bandejas la sem q viene
20/07 Prometen las bandejas el 23/07 en Silicom
23/07 Llegaron las bandejas
29/07 Llegará el pedido completo probablemente el día 10
11/08 Recibido correctamente, se atrasó por que modificaron la condicion de pago a contraentrega sin avisar.</t>
  </si>
  <si>
    <t>11/08 Recibidas las bandejas y accesorios</t>
  </si>
  <si>
    <t>Gabinete para Ormazabal</t>
  </si>
  <si>
    <t>Cajas de paso para HAPSA</t>
  </si>
  <si>
    <t>Gabinete para Pan American</t>
  </si>
  <si>
    <t>ROUTER-SWITCH</t>
  </si>
  <si>
    <t>Terminales prolong, contacto aux y mat varios proyectos</t>
  </si>
  <si>
    <t>11/08 Recibido correctamente en tiempo y forma.</t>
  </si>
  <si>
    <t>COTIZACIÓN Nº0281</t>
  </si>
  <si>
    <t>PROVISIÓN Nº0291</t>
  </si>
  <si>
    <t>PROVISIÓN Nº0292</t>
  </si>
  <si>
    <t xml:space="preserve"> ECOCONTROL S-2026.065_T.Ecomon</t>
  </si>
  <si>
    <t>SILICOM Indumentaria</t>
  </si>
  <si>
    <t>ORMAZABAL S-2026.071_TBT-CdT</t>
  </si>
  <si>
    <t>COTIZACIÓN Nº0282</t>
  </si>
  <si>
    <t>PAE S-2026.073_TEBT-I-63A</t>
  </si>
  <si>
    <t>13/07 Esta semana puede hacerse la entrega de la mayoría del pedido.
22/07 Llego mayoría del pedido, prox envío cambiar termicas tetrapolares de 20A x 16A y quedarían pendiente solo accesorios de interruptor
31/07 Hoy llegó parte de este pedido, quedando pendientes separadores y terminales extendidos, RECLAMAR FECHA
13/08 El faltante no va a ser entregado por problemas de Schneider y Serrano</t>
  </si>
  <si>
    <t>16/07 Adelanto de bandejas la sem q viene
20/07 Prometen las bandejas el 23/07 en Silicom
23/07 Llegaron las bandejas
29/07 Llegará el pedido completo probablemente el día 10
14/08 Se recibe hoy</t>
  </si>
  <si>
    <t>06/08 Recibido parcial
14/08 Consultas, Ciardi dice 2 sem mas (Volver a consultar sem q viene)</t>
  </si>
  <si>
    <t>14/08 Lona dice que la semana del 20 recibirán el material</t>
  </si>
  <si>
    <t>14/08 Se termina y despacha el martes 18</t>
  </si>
  <si>
    <t>14/08 Se despacho</t>
  </si>
  <si>
    <t>(94) PAE S-2026.041_APOyCASE &amp; (6) AESA S-2026.055_TGBT-ALLEN</t>
  </si>
  <si>
    <t>Fuente CISCO y SWITCHS</t>
  </si>
  <si>
    <t xml:space="preserve">Materiales Phoenix Contact </t>
  </si>
  <si>
    <t>FECHA ESTIMADA DE PAGO</t>
  </si>
  <si>
    <t>Se compró SuSeguridad</t>
  </si>
  <si>
    <t>Forli comprado, aparamenta comprada</t>
  </si>
  <si>
    <t>Cisco comprado, gabinete comprado, phoenix contact comprado</t>
  </si>
  <si>
    <t>13/08 Se enviaron por equivocacion a Olavarria</t>
  </si>
  <si>
    <t>14/08 Consultar semana del 20
18/08 Ya nos avisó que tiene todo el material
19/08 Seguir por 2207813193</t>
  </si>
  <si>
    <t>20/08 Seguir por 1Z54W8116796475466 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</si>
</sst>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 Unicode MS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43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0" xfId="0" applyFill="1"/>
    <xf numFmtId="0" fontId="0" fillId="2" borderId="1" xfId="0" applyFill="1" applyBorder="1" applyAlignment="1">
      <alignment horizontal="center" vertical="center" wrapText="1"/>
    </xf>
    <xf numFmtId="10" fontId="0" fillId="2" borderId="1" xfId="1" applyNumberFormat="1" applyFont="1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2" fillId="2" borderId="6" xfId="0" applyFont="1" applyFill="1" applyBorder="1" applyAlignment="1">
      <alignment horizontal="center" vertical="center"/>
    </xf>
    <xf numFmtId="4" fontId="0" fillId="2" borderId="0" xfId="0" applyNumberFormat="1" applyFill="1"/>
    <xf numFmtId="14" fontId="2" fillId="0" borderId="6" xfId="0" applyNumberFormat="1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14" fontId="0" fillId="0" borderId="6" xfId="0" applyNumberFormat="1" applyBorder="1" applyAlignment="1">
      <alignment horizontal="center"/>
    </xf>
    <xf numFmtId="14" fontId="0" fillId="0" borderId="6" xfId="0" applyNumberForma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4" fontId="6" fillId="0" borderId="0" xfId="0" applyNumberFormat="1" applyFont="1" applyAlignment="1">
      <alignment horizontal="left"/>
    </xf>
    <xf numFmtId="2" fontId="1" fillId="4" borderId="7" xfId="0" applyNumberFormat="1" applyFont="1" applyFill="1" applyBorder="1" applyAlignment="1">
      <alignment horizontal="center" vertical="center" wrapText="1"/>
    </xf>
    <xf numFmtId="2" fontId="1" fillId="4" borderId="5" xfId="0" applyNumberFormat="1" applyFont="1" applyFill="1" applyBorder="1" applyAlignment="1">
      <alignment horizontal="center" vertical="center" wrapText="1"/>
    </xf>
    <xf numFmtId="0" fontId="8" fillId="2" borderId="0" xfId="0" applyFont="1" applyFill="1"/>
    <xf numFmtId="0" fontId="8" fillId="2" borderId="0" xfId="0" applyFont="1" applyFill="1" applyAlignment="1">
      <alignment horizontal="left" vertical="center" indent="1"/>
    </xf>
    <xf numFmtId="0" fontId="0" fillId="6" borderId="6" xfId="0" applyFill="1" applyBorder="1" applyAlignment="1">
      <alignment horizontal="center"/>
    </xf>
    <xf numFmtId="2" fontId="1" fillId="0" borderId="0" xfId="0" applyNumberFormat="1" applyFont="1" applyAlignment="1">
      <alignment horizontal="center" vertical="center" wrapText="1"/>
    </xf>
    <xf numFmtId="0" fontId="0" fillId="0" borderId="0" xfId="0" applyAlignment="1">
      <alignment wrapText="1"/>
    </xf>
    <xf numFmtId="2" fontId="1" fillId="4" borderId="8" xfId="0" applyNumberFormat="1" applyFont="1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6" xfId="0" applyFill="1" applyBorder="1" applyAlignment="1">
      <alignment horizontal="center"/>
    </xf>
    <xf numFmtId="0" fontId="0" fillId="0" borderId="6" xfId="0" applyBorder="1"/>
    <xf numFmtId="0" fontId="0" fillId="9" borderId="6" xfId="0" applyFill="1" applyBorder="1" applyAlignment="1">
      <alignment horizontal="center" wrapText="1"/>
    </xf>
    <xf numFmtId="0" fontId="0" fillId="6" borderId="6" xfId="0" applyFill="1" applyBorder="1" applyAlignment="1">
      <alignment horizontal="center" wrapText="1"/>
    </xf>
    <xf numFmtId="16" fontId="0" fillId="0" borderId="6" xfId="0" applyNumberFormat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14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1323975</xdr:colOff>
          <xdr:row>146</xdr:row>
          <xdr:rowOff>133350</xdr:rowOff>
        </xdr:from>
        <xdr:to>
          <xdr:col>2</xdr:col>
          <xdr:colOff>2800350</xdr:colOff>
          <xdr:row>149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ORDENES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1" xr16:uid="{251C87E6-6BF1-455C-AF43-515CB9FEC550}" autoFormatId="16" applyNumberFormats="0" applyBorderFormats="0" applyFontFormats="0" applyPatternFormats="0" applyAlignmentFormats="0" applyWidthHeightFormats="0">
  <queryTableRefresh nextId="21" unboundColumnsRight="6">
    <queryTableFields count="13">
      <queryTableField id="17" name="VALOR OC" tableColumnId="6"/>
      <queryTableField id="11" dataBound="0" tableColumnId="12"/>
      <queryTableField id="1" name="Nº DE OC " tableColumnId="1"/>
      <queryTableField id="2" name="FECHA DE OC " tableColumnId="2"/>
      <queryTableField id="3" name="PROVEEDOR" tableColumnId="3"/>
      <queryTableField id="4" name="PROYECTO" tableColumnId="4"/>
      <queryTableField id="5" name="FECHA DE ENTREGA" tableColumnId="5"/>
      <queryTableField id="20" dataBound="0" tableColumnId="13"/>
      <queryTableField id="6" dataBound="0" tableColumnId="7"/>
      <queryTableField id="7" dataBound="0" tableColumnId="8"/>
      <queryTableField id="8" dataBound="0" tableColumnId="9"/>
      <queryTableField id="9" dataBound="0" tableColumnId="10"/>
      <queryTableField id="10" dataBound="0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D27045-7E8A-4015-A123-685A59F7C705}" name="_2026" displayName="_2026" ref="B1:N142" tableType="queryTable" totalsRowShown="0" headerRowDxfId="133" headerRowBorderDxfId="132" tableBorderDxfId="131" totalsRowBorderDxfId="130">
  <autoFilter ref="B1:N142" xr:uid="{DDD27045-7E8A-4015-A123-685A59F7C705}">
    <filterColumn colId="11">
      <filters>
        <filter val="PARCIAL"/>
        <filter val="PENDIENTE"/>
      </filters>
    </filterColumn>
  </autoFilter>
  <tableColumns count="13">
    <tableColumn id="6" xr3:uid="{357A2808-3FB2-491C-9246-B479C17BE0AF}" uniqueName="6" name="VALOR OC" queryTableFieldId="17" dataDxfId="129"/>
    <tableColumn id="12" xr3:uid="{4C5CF90D-D0A0-45AA-8591-B73B004A3F13}" uniqueName="12" name="DESCRIPCIÓN" queryTableFieldId="11" dataDxfId="128"/>
    <tableColumn id="1" xr3:uid="{F98B4535-E01F-4A24-A68E-4AC86B02CAA4}" uniqueName="1" name="Nº DE OC " queryTableFieldId="1" dataDxfId="127"/>
    <tableColumn id="2" xr3:uid="{EBBF5BB3-D956-46D3-8414-D6790222F5C6}" uniqueName="2" name="FECHA DE OC " queryTableFieldId="2" dataDxfId="126"/>
    <tableColumn id="3" xr3:uid="{368CDA35-750A-4A9D-8093-9700386A1172}" uniqueName="3" name="PROVEEDOR" queryTableFieldId="3" dataDxfId="125"/>
    <tableColumn id="4" xr3:uid="{308C4681-D21D-4E42-B500-13A3CC0505B8}" uniqueName="4" name="PROYECTO" queryTableFieldId="4" dataDxfId="124"/>
    <tableColumn id="5" xr3:uid="{60E433B1-0ED8-4719-A0D3-CD51D9EA1D30}" uniqueName="5" name="FECHA DE ENTREGA" queryTableFieldId="5" dataDxfId="123"/>
    <tableColumn id="13" xr3:uid="{90DFCD65-5FB3-4E6D-ABE7-BB1D93F1EE41}" uniqueName="13" name="FECHA ESTIMADA DE PAGO" queryTableFieldId="20" dataDxfId="122"/>
    <tableColumn id="7" xr3:uid="{F3DAC0A6-C0C7-4572-9F12-8E57ADAA87D3}" uniqueName="7" name="FECHA REAL DE ENTREGA" queryTableFieldId="6" dataDxfId="121"/>
    <tableColumn id="8" xr3:uid="{FA5F7C9E-4214-4534-BA44-B4AC46C9D724}" uniqueName="8" name="ESTADO DE ENTREGA" queryTableFieldId="7" dataDxfId="120"/>
    <tableColumn id="9" xr3:uid="{AFC5EC80-3427-494E-9096-49DF8A70E41D}" uniqueName="9" name="CAUSA" queryTableFieldId="8" dataDxfId="119"/>
    <tableColumn id="10" xr3:uid="{13EBC6AD-E469-4D16-8352-206A79D6E77F}" uniqueName="10" name="ESTADO" queryTableFieldId="9" dataDxfId="118"/>
    <tableColumn id="11" xr3:uid="{C3810749-7484-4E88-A588-F3FA8F041DA2}" uniqueName="11" name="OBSERVACIONES" queryTableFieldId="10" dataDxfId="11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17CD79-4336-488F-8B1F-4B32C98E585B}" name="Tabla3" displayName="Tabla3" ref="C1:L28" totalsRowShown="0" headerRowDxfId="116" dataDxfId="114" headerRowBorderDxfId="115">
  <autoFilter ref="C1:L28" xr:uid="{6B17CD79-4336-488F-8B1F-4B32C98E585B}"/>
  <tableColumns count="10">
    <tableColumn id="1" xr3:uid="{F8D240DB-FCEA-4379-BBEA-D516D5F1C565}" name="Solicitud" dataDxfId="113"/>
    <tableColumn id="2" xr3:uid="{A9374DE6-76A5-433F-B82C-C61344204F4A}" name="Proyecto" dataDxfId="112"/>
    <tableColumn id="3" xr3:uid="{1662AD29-D984-4CB1-9F16-4DD2C6345C40}" name="Proveedor 1" dataDxfId="111"/>
    <tableColumn id="6" xr3:uid="{4EB87F74-D8C5-4887-84C4-1883048A03E2}" name="Proveedor 2" dataDxfId="110"/>
    <tableColumn id="9" xr3:uid="{8C6063EB-7753-476D-B8D6-4485F972182B}" name="Proveedor 3" dataDxfId="109"/>
    <tableColumn id="7" xr3:uid="{579BFF05-64D2-4540-B810-3F28B04B9E3C}" name="Proveedor 4" dataDxfId="108"/>
    <tableColumn id="8" xr3:uid="{A8AF8082-6229-462A-949D-9A805F6C0A29}" name="Proveedor 5" dataDxfId="107"/>
    <tableColumn id="10" xr3:uid="{428DCDF4-1E0E-4E79-A77D-9E4981CBD8D6}" name="Proveedor 6" dataDxfId="106"/>
    <tableColumn id="4" xr3:uid="{8235CE39-6BC9-410D-9734-16084A89D059}" name="Estado" dataDxfId="105"/>
    <tableColumn id="5" xr3:uid="{2278BF44-FB98-47F9-BB3C-608C03A57F2D}" name="Notas" dataDxfId="10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13483-2C98-4E5C-8CBB-CE3AB118A5AE}">
  <sheetPr codeName="Hoja2"/>
  <dimension ref="A1:N163"/>
  <sheetViews>
    <sheetView showGridLines="0" tabSelected="1" zoomScale="70" zoomScaleNormal="70" workbookViewId="0">
      <selection activeCell="N142" sqref="N142"/>
    </sheetView>
  </sheetViews>
  <sheetFormatPr baseColWidth="10" defaultRowHeight="15"/>
  <cols>
    <col min="1" max="1" width="10.7109375" bestFit="1" customWidth="1"/>
    <col min="2" max="2" width="15.28515625" hidden="1" customWidth="1"/>
    <col min="3" max="3" width="58.140625" style="23" bestFit="1" customWidth="1"/>
    <col min="4" max="4" width="18.28515625" bestFit="1" customWidth="1"/>
    <col min="5" max="5" width="23.85546875" bestFit="1" customWidth="1"/>
    <col min="6" max="6" width="27.85546875" style="23" bestFit="1" customWidth="1"/>
    <col min="7" max="7" width="81.140625" bestFit="1" customWidth="1"/>
    <col min="8" max="8" width="31.5703125" bestFit="1" customWidth="1"/>
    <col min="9" max="9" width="7.7109375" customWidth="1"/>
    <col min="10" max="10" width="16.42578125" customWidth="1"/>
    <col min="11" max="11" width="33.5703125" bestFit="1" customWidth="1"/>
    <col min="12" max="12" width="16.42578125" bestFit="1" customWidth="1"/>
    <col min="13" max="13" width="17.85546875" bestFit="1" customWidth="1"/>
    <col min="14" max="14" width="81.140625" bestFit="1" customWidth="1"/>
  </cols>
  <sheetData>
    <row r="1" spans="1:14" s="23" customFormat="1" ht="60">
      <c r="A1" s="22"/>
      <c r="B1" t="s">
        <v>365</v>
      </c>
      <c r="C1" s="18" t="s">
        <v>0</v>
      </c>
      <c r="D1" s="17" t="s">
        <v>134</v>
      </c>
      <c r="E1" s="18" t="s">
        <v>135</v>
      </c>
      <c r="F1" s="18" t="s">
        <v>1</v>
      </c>
      <c r="G1" s="18" t="s">
        <v>37</v>
      </c>
      <c r="H1" s="18" t="s">
        <v>136</v>
      </c>
      <c r="I1" s="18" t="s">
        <v>454</v>
      </c>
      <c r="J1" s="18" t="s">
        <v>6</v>
      </c>
      <c r="K1" s="18" t="s">
        <v>9</v>
      </c>
      <c r="L1" s="18" t="s">
        <v>11</v>
      </c>
      <c r="M1" s="18" t="s">
        <v>4</v>
      </c>
      <c r="N1" s="18" t="s">
        <v>5</v>
      </c>
    </row>
    <row r="2" spans="1:14" hidden="1">
      <c r="A2" s="15"/>
      <c r="B2" s="28">
        <v>392536.18400000001</v>
      </c>
      <c r="C2" s="6" t="s">
        <v>30</v>
      </c>
      <c r="D2" s="10">
        <v>1928</v>
      </c>
      <c r="E2" s="11">
        <v>46027</v>
      </c>
      <c r="F2" s="10" t="s">
        <v>137</v>
      </c>
      <c r="G2" s="10" t="s">
        <v>77</v>
      </c>
      <c r="H2" s="11">
        <v>46031</v>
      </c>
      <c r="I2" s="11"/>
      <c r="J2" s="8">
        <v>46034</v>
      </c>
      <c r="K2" s="8" t="s">
        <v>7</v>
      </c>
      <c r="L2" s="8"/>
      <c r="M2" s="9" t="s">
        <v>3</v>
      </c>
      <c r="N2" s="12" t="s">
        <v>51</v>
      </c>
    </row>
    <row r="3" spans="1:14" hidden="1">
      <c r="A3" s="15"/>
      <c r="B3" s="28">
        <v>277.66999999999996</v>
      </c>
      <c r="C3" s="6" t="s">
        <v>31</v>
      </c>
      <c r="D3" s="10">
        <v>1929</v>
      </c>
      <c r="E3" s="11">
        <v>46027</v>
      </c>
      <c r="F3" s="10" t="s">
        <v>38</v>
      </c>
      <c r="G3" s="10" t="s">
        <v>138</v>
      </c>
      <c r="H3" s="11">
        <v>46031</v>
      </c>
      <c r="I3" s="11"/>
      <c r="J3" s="8">
        <v>46031</v>
      </c>
      <c r="K3" s="8" t="s">
        <v>7</v>
      </c>
      <c r="L3" s="8"/>
      <c r="M3" s="9" t="s">
        <v>3</v>
      </c>
      <c r="N3" s="12" t="s">
        <v>51</v>
      </c>
    </row>
    <row r="4" spans="1:14" hidden="1">
      <c r="A4" s="15"/>
      <c r="B4" s="28">
        <v>58</v>
      </c>
      <c r="C4" s="6" t="s">
        <v>33</v>
      </c>
      <c r="D4" s="10">
        <v>1930</v>
      </c>
      <c r="E4" s="11">
        <v>46028</v>
      </c>
      <c r="F4" s="10" t="s">
        <v>39</v>
      </c>
      <c r="G4" s="10" t="s">
        <v>138</v>
      </c>
      <c r="H4" s="11">
        <v>46035</v>
      </c>
      <c r="I4" s="11"/>
      <c r="J4" s="8">
        <v>46031</v>
      </c>
      <c r="K4" s="8" t="s">
        <v>7</v>
      </c>
      <c r="L4" s="8"/>
      <c r="M4" s="9" t="s">
        <v>3</v>
      </c>
      <c r="N4" s="12" t="s">
        <v>51</v>
      </c>
    </row>
    <row r="5" spans="1:14" hidden="1">
      <c r="A5" s="15"/>
      <c r="B5" s="28">
        <v>51.674000000000007</v>
      </c>
      <c r="C5" s="6" t="s">
        <v>34</v>
      </c>
      <c r="D5" s="10">
        <v>1931</v>
      </c>
      <c r="E5" s="11">
        <v>46028</v>
      </c>
      <c r="F5" s="10" t="s">
        <v>140</v>
      </c>
      <c r="G5" s="10" t="s">
        <v>139</v>
      </c>
      <c r="H5" s="11">
        <v>46031</v>
      </c>
      <c r="I5" s="11"/>
      <c r="J5" s="8">
        <v>46030</v>
      </c>
      <c r="K5" s="8" t="s">
        <v>7</v>
      </c>
      <c r="L5" s="8"/>
      <c r="M5" s="9" t="s">
        <v>3</v>
      </c>
      <c r="N5" s="12" t="s">
        <v>45</v>
      </c>
    </row>
    <row r="6" spans="1:14" hidden="1">
      <c r="A6" s="15"/>
      <c r="B6" s="28">
        <v>156387</v>
      </c>
      <c r="C6" s="6" t="s">
        <v>35</v>
      </c>
      <c r="D6" s="10">
        <v>1932</v>
      </c>
      <c r="E6" s="11">
        <v>46028</v>
      </c>
      <c r="F6" s="10" t="s">
        <v>40</v>
      </c>
      <c r="G6" s="10" t="s">
        <v>141</v>
      </c>
      <c r="H6" s="11">
        <v>46035</v>
      </c>
      <c r="I6" s="11"/>
      <c r="J6" s="8">
        <v>46044</v>
      </c>
      <c r="K6" s="8" t="s">
        <v>8</v>
      </c>
      <c r="L6" s="8" t="s">
        <v>12</v>
      </c>
      <c r="M6" s="9" t="s">
        <v>3</v>
      </c>
      <c r="N6" s="12" t="s">
        <v>80</v>
      </c>
    </row>
    <row r="7" spans="1:14" hidden="1">
      <c r="A7" s="15"/>
      <c r="B7" s="28">
        <v>1165525.5109999999</v>
      </c>
      <c r="C7" s="6" t="s">
        <v>36</v>
      </c>
      <c r="D7" s="10">
        <v>1933</v>
      </c>
      <c r="E7" s="11">
        <v>46029</v>
      </c>
      <c r="F7" s="10" t="s">
        <v>137</v>
      </c>
      <c r="G7" s="10" t="s">
        <v>142</v>
      </c>
      <c r="H7" s="11">
        <v>46033</v>
      </c>
      <c r="I7" s="11"/>
      <c r="J7" s="8">
        <v>46037</v>
      </c>
      <c r="K7" s="8" t="s">
        <v>8</v>
      </c>
      <c r="L7" s="8" t="s">
        <v>13</v>
      </c>
      <c r="M7" s="9" t="s">
        <v>3</v>
      </c>
      <c r="N7" s="12" t="s">
        <v>61</v>
      </c>
    </row>
    <row r="8" spans="1:14" ht="30" hidden="1">
      <c r="A8" s="15"/>
      <c r="B8" s="28">
        <v>544.8900000000001</v>
      </c>
      <c r="C8" s="6" t="s">
        <v>41</v>
      </c>
      <c r="D8" s="10">
        <v>1934</v>
      </c>
      <c r="E8" s="11">
        <v>46029</v>
      </c>
      <c r="F8" s="10" t="s">
        <v>140</v>
      </c>
      <c r="G8" s="10" t="s">
        <v>142</v>
      </c>
      <c r="H8" s="11">
        <v>46032</v>
      </c>
      <c r="I8" s="11"/>
      <c r="J8" s="8">
        <v>46034</v>
      </c>
      <c r="K8" s="8" t="s">
        <v>7</v>
      </c>
      <c r="L8" s="8"/>
      <c r="M8" s="9" t="s">
        <v>3</v>
      </c>
      <c r="N8" s="12" t="s">
        <v>42</v>
      </c>
    </row>
    <row r="9" spans="1:14" hidden="1">
      <c r="A9" s="15"/>
      <c r="B9" s="28">
        <v>468.685</v>
      </c>
      <c r="C9" s="6" t="s">
        <v>43</v>
      </c>
      <c r="D9" s="10">
        <v>1935</v>
      </c>
      <c r="E9" s="11">
        <v>46029</v>
      </c>
      <c r="F9" s="10" t="s">
        <v>144</v>
      </c>
      <c r="G9" s="10" t="s">
        <v>143</v>
      </c>
      <c r="H9" s="11">
        <v>46032</v>
      </c>
      <c r="I9" s="11"/>
      <c r="J9" s="8">
        <v>46031</v>
      </c>
      <c r="K9" s="8" t="s">
        <v>7</v>
      </c>
      <c r="L9" s="8"/>
      <c r="M9" s="9" t="s">
        <v>3</v>
      </c>
      <c r="N9" s="12" t="s">
        <v>50</v>
      </c>
    </row>
    <row r="10" spans="1:14" hidden="1">
      <c r="A10" s="15"/>
      <c r="B10" s="28">
        <v>209514.90000000002</v>
      </c>
      <c r="C10" s="6" t="s">
        <v>44</v>
      </c>
      <c r="D10" s="10">
        <v>1936</v>
      </c>
      <c r="E10" s="11">
        <v>46029</v>
      </c>
      <c r="F10" s="10" t="s">
        <v>146</v>
      </c>
      <c r="G10" s="10" t="s">
        <v>145</v>
      </c>
      <c r="H10" s="11">
        <v>46034</v>
      </c>
      <c r="I10" s="11"/>
      <c r="J10" s="8">
        <v>46035</v>
      </c>
      <c r="K10" s="8" t="s">
        <v>7</v>
      </c>
      <c r="L10" s="8"/>
      <c r="M10" s="9" t="s">
        <v>3</v>
      </c>
      <c r="N10" s="9" t="s">
        <v>46</v>
      </c>
    </row>
    <row r="11" spans="1:14" hidden="1">
      <c r="A11" s="15"/>
      <c r="B11" s="28">
        <v>965.93</v>
      </c>
      <c r="C11" s="6" t="s">
        <v>47</v>
      </c>
      <c r="D11" s="10">
        <v>1937</v>
      </c>
      <c r="E11" s="11">
        <v>46030</v>
      </c>
      <c r="F11" s="10" t="s">
        <v>148</v>
      </c>
      <c r="G11" s="10" t="s">
        <v>147</v>
      </c>
      <c r="H11" s="11">
        <v>46037</v>
      </c>
      <c r="I11" s="11"/>
      <c r="J11" s="8">
        <v>46038</v>
      </c>
      <c r="K11" s="8" t="s">
        <v>7</v>
      </c>
      <c r="L11" s="8"/>
      <c r="M11" s="9" t="s">
        <v>3</v>
      </c>
      <c r="N11" s="9"/>
    </row>
    <row r="12" spans="1:14" ht="90" hidden="1">
      <c r="A12" s="15"/>
      <c r="B12" s="28">
        <v>36448.720000000001</v>
      </c>
      <c r="C12" s="6" t="s">
        <v>48</v>
      </c>
      <c r="D12" s="10">
        <v>1938</v>
      </c>
      <c r="E12" s="11">
        <v>46030</v>
      </c>
      <c r="F12" s="10" t="s">
        <v>49</v>
      </c>
      <c r="G12" s="10" t="s">
        <v>151</v>
      </c>
      <c r="H12" s="11">
        <v>46066</v>
      </c>
      <c r="I12" s="11"/>
      <c r="J12" s="8">
        <v>46101</v>
      </c>
      <c r="K12" s="8" t="s">
        <v>8</v>
      </c>
      <c r="L12" s="8" t="s">
        <v>13</v>
      </c>
      <c r="M12" s="9" t="s">
        <v>3</v>
      </c>
      <c r="N12" s="9" t="s">
        <v>130</v>
      </c>
    </row>
    <row r="13" spans="1:14" hidden="1">
      <c r="A13" s="15"/>
      <c r="B13" s="28">
        <v>889.64</v>
      </c>
      <c r="C13" s="6" t="s">
        <v>52</v>
      </c>
      <c r="D13" s="10">
        <v>1939</v>
      </c>
      <c r="E13" s="11">
        <v>46031</v>
      </c>
      <c r="F13" s="10" t="s">
        <v>148</v>
      </c>
      <c r="G13" s="10" t="s">
        <v>149</v>
      </c>
      <c r="H13" s="11">
        <v>46037</v>
      </c>
      <c r="I13" s="11"/>
      <c r="J13" s="8">
        <v>46038</v>
      </c>
      <c r="K13" s="8" t="s">
        <v>7</v>
      </c>
      <c r="L13" s="8"/>
      <c r="M13" s="9" t="s">
        <v>3</v>
      </c>
      <c r="N13" s="9"/>
    </row>
    <row r="14" spans="1:14" hidden="1">
      <c r="A14" s="15"/>
      <c r="B14" s="28">
        <v>357.9</v>
      </c>
      <c r="C14" s="6" t="s">
        <v>53</v>
      </c>
      <c r="D14" s="10">
        <v>1940</v>
      </c>
      <c r="E14" s="11">
        <v>46031</v>
      </c>
      <c r="F14" s="10" t="s">
        <v>150</v>
      </c>
      <c r="G14" s="10" t="s">
        <v>145</v>
      </c>
      <c r="H14" s="11">
        <v>46037</v>
      </c>
      <c r="I14" s="11"/>
      <c r="J14" s="8">
        <v>46036</v>
      </c>
      <c r="K14" s="8" t="s">
        <v>7</v>
      </c>
      <c r="L14" s="8"/>
      <c r="M14" s="9" t="s">
        <v>3</v>
      </c>
      <c r="N14" s="9" t="s">
        <v>51</v>
      </c>
    </row>
    <row r="15" spans="1:14" ht="90" hidden="1">
      <c r="A15" s="15"/>
      <c r="B15" s="28">
        <v>44053.11359999999</v>
      </c>
      <c r="C15" s="6" t="s">
        <v>54</v>
      </c>
      <c r="D15" s="10">
        <v>1941</v>
      </c>
      <c r="E15" s="11">
        <v>46035</v>
      </c>
      <c r="F15" s="10" t="s">
        <v>55</v>
      </c>
      <c r="G15" s="10" t="s">
        <v>151</v>
      </c>
      <c r="H15" s="11">
        <v>46050</v>
      </c>
      <c r="I15" s="11"/>
      <c r="J15" s="8">
        <v>46071</v>
      </c>
      <c r="K15" s="8" t="s">
        <v>7</v>
      </c>
      <c r="L15" s="8"/>
      <c r="M15" s="9" t="s">
        <v>3</v>
      </c>
      <c r="N15" s="9" t="s">
        <v>99</v>
      </c>
    </row>
    <row r="16" spans="1:14" ht="135" hidden="1">
      <c r="A16" s="15"/>
      <c r="B16" s="28">
        <v>23704.47</v>
      </c>
      <c r="C16" s="6" t="s">
        <v>62</v>
      </c>
      <c r="D16" s="10">
        <v>1942</v>
      </c>
      <c r="E16" s="11">
        <v>46037</v>
      </c>
      <c r="F16" s="10" t="s">
        <v>65</v>
      </c>
      <c r="G16" s="10" t="s">
        <v>151</v>
      </c>
      <c r="H16" s="11">
        <v>46050</v>
      </c>
      <c r="I16" s="11"/>
      <c r="J16" s="8">
        <v>46073</v>
      </c>
      <c r="K16" s="8" t="s">
        <v>8</v>
      </c>
      <c r="L16" s="8" t="s">
        <v>13</v>
      </c>
      <c r="M16" s="9" t="s">
        <v>3</v>
      </c>
      <c r="N16" s="9" t="s">
        <v>166</v>
      </c>
    </row>
    <row r="17" spans="1:14" ht="75" hidden="1">
      <c r="A17" s="15"/>
      <c r="B17" s="28">
        <v>2218477.9960000003</v>
      </c>
      <c r="C17" s="6" t="s">
        <v>56</v>
      </c>
      <c r="D17" s="10">
        <v>1943</v>
      </c>
      <c r="E17" s="11">
        <v>46035</v>
      </c>
      <c r="F17" s="10" t="s">
        <v>137</v>
      </c>
      <c r="G17" s="10" t="s">
        <v>165</v>
      </c>
      <c r="H17" s="11">
        <v>46039</v>
      </c>
      <c r="I17" s="11"/>
      <c r="J17" s="8">
        <v>46045</v>
      </c>
      <c r="K17" s="8" t="s">
        <v>7</v>
      </c>
      <c r="L17" s="8"/>
      <c r="M17" s="9" t="s">
        <v>3</v>
      </c>
      <c r="N17" s="9" t="s">
        <v>110</v>
      </c>
    </row>
    <row r="18" spans="1:14" hidden="1">
      <c r="A18" s="15"/>
      <c r="B18" s="28">
        <v>324.851</v>
      </c>
      <c r="C18" s="6" t="s">
        <v>57</v>
      </c>
      <c r="D18" s="10">
        <v>1944</v>
      </c>
      <c r="E18" s="11">
        <v>46036</v>
      </c>
      <c r="F18" s="10" t="s">
        <v>153</v>
      </c>
      <c r="G18" s="10" t="s">
        <v>152</v>
      </c>
      <c r="H18" s="11">
        <v>46042</v>
      </c>
      <c r="I18" s="11"/>
      <c r="J18" s="8">
        <v>46042</v>
      </c>
      <c r="K18" s="8" t="s">
        <v>7</v>
      </c>
      <c r="L18" s="8"/>
      <c r="M18" s="9" t="s">
        <v>3</v>
      </c>
      <c r="N18" s="9"/>
    </row>
    <row r="19" spans="1:14" hidden="1">
      <c r="A19" s="15"/>
      <c r="B19" s="28">
        <v>500.49</v>
      </c>
      <c r="C19" s="6" t="s">
        <v>58</v>
      </c>
      <c r="D19" s="10">
        <v>1945</v>
      </c>
      <c r="E19" s="11">
        <v>46036</v>
      </c>
      <c r="F19" s="10" t="s">
        <v>59</v>
      </c>
      <c r="G19" s="10" t="s">
        <v>138</v>
      </c>
      <c r="H19" s="11">
        <v>46043</v>
      </c>
      <c r="I19" s="11"/>
      <c r="J19" s="8">
        <v>46044</v>
      </c>
      <c r="K19" s="8" t="s">
        <v>7</v>
      </c>
      <c r="L19" s="8"/>
      <c r="M19" s="9" t="s">
        <v>3</v>
      </c>
      <c r="N19" s="9" t="s">
        <v>74</v>
      </c>
    </row>
    <row r="20" spans="1:14" hidden="1">
      <c r="A20" s="15"/>
      <c r="B20" s="28">
        <v>189815</v>
      </c>
      <c r="C20" s="6" t="s">
        <v>60</v>
      </c>
      <c r="D20" s="10">
        <v>1946</v>
      </c>
      <c r="E20" s="11">
        <v>46036</v>
      </c>
      <c r="F20" s="10" t="s">
        <v>146</v>
      </c>
      <c r="G20" s="10" t="s">
        <v>145</v>
      </c>
      <c r="H20" s="11">
        <v>46043</v>
      </c>
      <c r="I20" s="11"/>
      <c r="J20" s="8">
        <v>46049</v>
      </c>
      <c r="K20" s="8" t="s">
        <v>8</v>
      </c>
      <c r="L20" s="8" t="s">
        <v>13</v>
      </c>
      <c r="M20" s="9" t="s">
        <v>3</v>
      </c>
      <c r="N20" s="9" t="s">
        <v>82</v>
      </c>
    </row>
    <row r="21" spans="1:14" hidden="1">
      <c r="A21" s="15"/>
      <c r="B21" s="28">
        <v>257.49</v>
      </c>
      <c r="C21" s="6" t="s">
        <v>63</v>
      </c>
      <c r="D21" s="10">
        <v>1947</v>
      </c>
      <c r="E21" s="11">
        <v>46037</v>
      </c>
      <c r="F21" s="10" t="s">
        <v>64</v>
      </c>
      <c r="G21" s="10" t="s">
        <v>152</v>
      </c>
      <c r="H21" s="11">
        <v>46042</v>
      </c>
      <c r="I21" s="11"/>
      <c r="J21" s="8">
        <v>46045</v>
      </c>
      <c r="K21" s="8" t="s">
        <v>7</v>
      </c>
      <c r="L21" s="8"/>
      <c r="M21" s="9" t="s">
        <v>3</v>
      </c>
      <c r="N21" s="9"/>
    </row>
    <row r="22" spans="1:14" ht="30" hidden="1">
      <c r="A22" s="15"/>
      <c r="B22" s="28">
        <v>505249</v>
      </c>
      <c r="C22" s="6" t="s">
        <v>66</v>
      </c>
      <c r="D22" s="10">
        <v>1948</v>
      </c>
      <c r="E22" s="11">
        <v>46038</v>
      </c>
      <c r="F22" s="10" t="s">
        <v>67</v>
      </c>
      <c r="G22" s="10" t="s">
        <v>154</v>
      </c>
      <c r="H22" s="11">
        <v>46053</v>
      </c>
      <c r="I22" s="11"/>
      <c r="J22" s="8">
        <v>46073</v>
      </c>
      <c r="K22" s="8" t="s">
        <v>8</v>
      </c>
      <c r="L22" s="8" t="s">
        <v>13</v>
      </c>
      <c r="M22" s="9" t="s">
        <v>3</v>
      </c>
      <c r="N22" s="9" t="s">
        <v>93</v>
      </c>
    </row>
    <row r="23" spans="1:14" ht="225" hidden="1">
      <c r="A23" s="15"/>
      <c r="B23" s="28">
        <v>44915.799999999996</v>
      </c>
      <c r="C23" s="6" t="s">
        <v>68</v>
      </c>
      <c r="D23" s="10">
        <v>1949</v>
      </c>
      <c r="E23" s="11">
        <v>46038</v>
      </c>
      <c r="F23" s="10" t="s">
        <v>69</v>
      </c>
      <c r="G23" s="10" t="s">
        <v>151</v>
      </c>
      <c r="H23" s="11">
        <v>46065</v>
      </c>
      <c r="I23" s="11"/>
      <c r="J23" s="8">
        <v>46087</v>
      </c>
      <c r="K23" s="8" t="s">
        <v>8</v>
      </c>
      <c r="L23" s="8" t="s">
        <v>13</v>
      </c>
      <c r="M23" s="9" t="s">
        <v>3</v>
      </c>
      <c r="N23" s="9" t="s">
        <v>167</v>
      </c>
    </row>
    <row r="24" spans="1:14" hidden="1">
      <c r="A24" s="15"/>
      <c r="B24" s="28">
        <v>244.59</v>
      </c>
      <c r="C24" s="6" t="s">
        <v>71</v>
      </c>
      <c r="D24" s="10">
        <v>1950</v>
      </c>
      <c r="E24" s="11">
        <v>46041</v>
      </c>
      <c r="F24" s="10" t="s">
        <v>153</v>
      </c>
      <c r="G24" s="10" t="s">
        <v>160</v>
      </c>
      <c r="H24" s="11">
        <v>46045</v>
      </c>
      <c r="I24" s="11"/>
      <c r="J24" s="8">
        <v>46045</v>
      </c>
      <c r="K24" s="8" t="s">
        <v>7</v>
      </c>
      <c r="L24" s="8"/>
      <c r="M24" s="9" t="s">
        <v>3</v>
      </c>
      <c r="N24" s="13" t="s">
        <v>51</v>
      </c>
    </row>
    <row r="25" spans="1:14" ht="30" hidden="1">
      <c r="A25" s="15"/>
      <c r="B25" s="28">
        <v>190.8</v>
      </c>
      <c r="C25" s="6" t="s">
        <v>83</v>
      </c>
      <c r="D25" s="10">
        <v>1951</v>
      </c>
      <c r="E25" s="11">
        <v>46041</v>
      </c>
      <c r="F25" s="10" t="s">
        <v>153</v>
      </c>
      <c r="G25" s="10" t="s">
        <v>155</v>
      </c>
      <c r="H25" s="11">
        <v>46049</v>
      </c>
      <c r="I25" s="11"/>
      <c r="J25" s="8">
        <v>46077</v>
      </c>
      <c r="K25" s="8" t="s">
        <v>7</v>
      </c>
      <c r="L25" s="8"/>
      <c r="M25" s="9" t="s">
        <v>3</v>
      </c>
      <c r="N25" s="9" t="s">
        <v>107</v>
      </c>
    </row>
    <row r="26" spans="1:14" ht="210" hidden="1">
      <c r="A26" s="15"/>
      <c r="B26" s="28">
        <v>15488.120000000004</v>
      </c>
      <c r="C26" s="6" t="s">
        <v>72</v>
      </c>
      <c r="D26" s="10">
        <v>1952</v>
      </c>
      <c r="E26" s="11">
        <v>46041</v>
      </c>
      <c r="F26" s="10" t="s">
        <v>156</v>
      </c>
      <c r="G26" s="10" t="s">
        <v>151</v>
      </c>
      <c r="H26" s="11">
        <v>46071</v>
      </c>
      <c r="I26" s="11"/>
      <c r="J26" s="8">
        <v>46120</v>
      </c>
      <c r="K26" s="8" t="s">
        <v>8</v>
      </c>
      <c r="L26" s="8" t="s">
        <v>13</v>
      </c>
      <c r="M26" s="9" t="s">
        <v>3</v>
      </c>
      <c r="N26" s="14" t="s">
        <v>180</v>
      </c>
    </row>
    <row r="27" spans="1:14" hidden="1">
      <c r="A27" s="15"/>
      <c r="B27" s="28">
        <v>107584.02100000001</v>
      </c>
      <c r="C27" s="6" t="s">
        <v>73</v>
      </c>
      <c r="D27" s="10">
        <v>1953</v>
      </c>
      <c r="E27" s="11">
        <v>46041</v>
      </c>
      <c r="F27" s="10" t="s">
        <v>64</v>
      </c>
      <c r="G27" s="10" t="s">
        <v>155</v>
      </c>
      <c r="H27" s="11">
        <v>46041</v>
      </c>
      <c r="I27" s="11"/>
      <c r="J27" s="8">
        <v>46041</v>
      </c>
      <c r="K27" s="8" t="s">
        <v>7</v>
      </c>
      <c r="L27" s="8"/>
      <c r="M27" s="9" t="s">
        <v>3</v>
      </c>
      <c r="N27" s="9"/>
    </row>
    <row r="28" spans="1:14" hidden="1">
      <c r="A28" s="15"/>
      <c r="B28" s="28">
        <v>466082</v>
      </c>
      <c r="C28" s="6" t="s">
        <v>66</v>
      </c>
      <c r="D28" s="10">
        <v>1954</v>
      </c>
      <c r="E28" s="11">
        <v>46042</v>
      </c>
      <c r="F28" s="10" t="s">
        <v>75</v>
      </c>
      <c r="G28" s="10" t="s">
        <v>157</v>
      </c>
      <c r="H28" s="11">
        <v>46050</v>
      </c>
      <c r="I28" s="11"/>
      <c r="J28" s="8">
        <v>46051</v>
      </c>
      <c r="K28" s="8" t="s">
        <v>7</v>
      </c>
      <c r="L28" s="8"/>
      <c r="M28" s="9" t="s">
        <v>3</v>
      </c>
      <c r="N28" s="9" t="s">
        <v>95</v>
      </c>
    </row>
    <row r="29" spans="1:14" ht="165" hidden="1">
      <c r="A29" s="15"/>
      <c r="B29" s="28">
        <v>740</v>
      </c>
      <c r="C29" s="6" t="s">
        <v>76</v>
      </c>
      <c r="D29" s="10">
        <v>1955</v>
      </c>
      <c r="E29" s="11">
        <v>46044</v>
      </c>
      <c r="F29" s="10" t="s">
        <v>156</v>
      </c>
      <c r="G29" s="10" t="s">
        <v>151</v>
      </c>
      <c r="H29" s="11">
        <v>46074</v>
      </c>
      <c r="I29" s="11"/>
      <c r="J29" s="8">
        <v>46120</v>
      </c>
      <c r="K29" s="8" t="s">
        <v>8</v>
      </c>
      <c r="L29" s="8" t="s">
        <v>13</v>
      </c>
      <c r="M29" s="9" t="s">
        <v>3</v>
      </c>
      <c r="N29" s="14" t="s">
        <v>181</v>
      </c>
    </row>
    <row r="30" spans="1:14" ht="45" hidden="1">
      <c r="A30" s="15"/>
      <c r="B30" s="28">
        <v>99080.106999999989</v>
      </c>
      <c r="C30" s="6" t="s">
        <v>79</v>
      </c>
      <c r="D30" s="10">
        <v>1956</v>
      </c>
      <c r="E30" s="11">
        <v>46044</v>
      </c>
      <c r="F30" s="10" t="s">
        <v>137</v>
      </c>
      <c r="G30" s="10" t="s">
        <v>158</v>
      </c>
      <c r="H30" s="11">
        <v>46059</v>
      </c>
      <c r="I30" s="11"/>
      <c r="J30" s="8">
        <v>46065</v>
      </c>
      <c r="K30" s="8" t="s">
        <v>7</v>
      </c>
      <c r="L30" s="8"/>
      <c r="M30" s="9" t="s">
        <v>3</v>
      </c>
      <c r="N30" s="9" t="s">
        <v>92</v>
      </c>
    </row>
    <row r="31" spans="1:14" hidden="1">
      <c r="A31" s="15"/>
      <c r="B31" s="28">
        <v>96.314999999999998</v>
      </c>
      <c r="C31" s="6" t="s">
        <v>81</v>
      </c>
      <c r="D31" s="10">
        <v>1957</v>
      </c>
      <c r="E31" s="11">
        <v>46045</v>
      </c>
      <c r="F31" s="10" t="s">
        <v>153</v>
      </c>
      <c r="G31" s="10" t="s">
        <v>159</v>
      </c>
      <c r="H31" s="11">
        <v>46050</v>
      </c>
      <c r="I31" s="11"/>
      <c r="J31" s="8">
        <v>46056</v>
      </c>
      <c r="K31" s="8" t="s">
        <v>8</v>
      </c>
      <c r="L31" s="8" t="s">
        <v>13</v>
      </c>
      <c r="M31" s="9" t="s">
        <v>3</v>
      </c>
      <c r="N31" s="9" t="s">
        <v>91</v>
      </c>
    </row>
    <row r="32" spans="1:14" ht="30" hidden="1">
      <c r="A32" s="15"/>
      <c r="B32" s="28">
        <v>1320.48</v>
      </c>
      <c r="C32" s="6" t="s">
        <v>84</v>
      </c>
      <c r="D32" s="10">
        <v>1958</v>
      </c>
      <c r="E32" s="11">
        <v>46065</v>
      </c>
      <c r="F32" s="10" t="s">
        <v>85</v>
      </c>
      <c r="G32" s="10" t="s">
        <v>160</v>
      </c>
      <c r="H32" s="11">
        <v>46071</v>
      </c>
      <c r="I32" s="11"/>
      <c r="J32" s="8">
        <v>46076</v>
      </c>
      <c r="K32" s="8" t="s">
        <v>8</v>
      </c>
      <c r="L32" s="8" t="s">
        <v>13</v>
      </c>
      <c r="M32" s="9" t="s">
        <v>3</v>
      </c>
      <c r="N32" s="9" t="s">
        <v>106</v>
      </c>
    </row>
    <row r="33" spans="1:14" ht="90" hidden="1">
      <c r="A33" s="15"/>
      <c r="B33" s="28">
        <v>2191.6</v>
      </c>
      <c r="C33" s="6" t="s">
        <v>86</v>
      </c>
      <c r="D33" s="10">
        <v>1959</v>
      </c>
      <c r="E33" s="11">
        <v>46050</v>
      </c>
      <c r="F33" s="10" t="s">
        <v>87</v>
      </c>
      <c r="G33" s="10" t="s">
        <v>151</v>
      </c>
      <c r="H33" s="11">
        <v>46076</v>
      </c>
      <c r="I33" s="11"/>
      <c r="J33" s="8">
        <v>46090</v>
      </c>
      <c r="K33" s="8" t="s">
        <v>7</v>
      </c>
      <c r="L33" s="8"/>
      <c r="M33" s="9" t="s">
        <v>3</v>
      </c>
      <c r="N33" s="14" t="s">
        <v>168</v>
      </c>
    </row>
    <row r="34" spans="1:14" hidden="1">
      <c r="A34" s="15"/>
      <c r="B34" s="28">
        <v>508877.85600000003</v>
      </c>
      <c r="C34" s="6" t="s">
        <v>88</v>
      </c>
      <c r="D34" s="10">
        <v>1960</v>
      </c>
      <c r="E34" s="11">
        <v>46056</v>
      </c>
      <c r="F34" s="10" t="s">
        <v>137</v>
      </c>
      <c r="G34" s="10" t="s">
        <v>160</v>
      </c>
      <c r="H34" s="11">
        <v>46058</v>
      </c>
      <c r="I34" s="11"/>
      <c r="J34" s="8">
        <v>46057</v>
      </c>
      <c r="K34" s="8" t="s">
        <v>7</v>
      </c>
      <c r="L34" s="8"/>
      <c r="M34" s="9" t="s">
        <v>3</v>
      </c>
      <c r="N34" s="9" t="s">
        <v>51</v>
      </c>
    </row>
    <row r="35" spans="1:14" ht="30" hidden="1">
      <c r="A35" s="15"/>
      <c r="B35" s="28">
        <v>396.63799999999992</v>
      </c>
      <c r="C35" s="6" t="s">
        <v>89</v>
      </c>
      <c r="D35" s="10">
        <v>1961</v>
      </c>
      <c r="E35" s="11">
        <v>46057</v>
      </c>
      <c r="F35" s="10" t="s">
        <v>153</v>
      </c>
      <c r="G35" s="10" t="s">
        <v>78</v>
      </c>
      <c r="H35" s="11">
        <v>46062</v>
      </c>
      <c r="I35" s="11"/>
      <c r="J35" s="8">
        <v>46058</v>
      </c>
      <c r="K35" s="8" t="s">
        <v>7</v>
      </c>
      <c r="L35" s="8"/>
      <c r="M35" s="9" t="s">
        <v>3</v>
      </c>
      <c r="N35" s="9" t="s">
        <v>90</v>
      </c>
    </row>
    <row r="36" spans="1:14" hidden="1">
      <c r="A36" s="15"/>
      <c r="B36" s="28">
        <v>156.80000000000001</v>
      </c>
      <c r="C36" s="6" t="s">
        <v>96</v>
      </c>
      <c r="D36" s="10">
        <v>1962</v>
      </c>
      <c r="E36" s="11">
        <v>46064</v>
      </c>
      <c r="F36" s="10" t="s">
        <v>39</v>
      </c>
      <c r="G36" s="10" t="s">
        <v>161</v>
      </c>
      <c r="H36" s="11">
        <v>46074</v>
      </c>
      <c r="I36" s="11"/>
      <c r="J36" s="8">
        <v>46071</v>
      </c>
      <c r="K36" s="8" t="s">
        <v>7</v>
      </c>
      <c r="L36" s="8"/>
      <c r="M36" s="9" t="s">
        <v>3</v>
      </c>
      <c r="N36" s="9" t="s">
        <v>97</v>
      </c>
    </row>
    <row r="37" spans="1:14" hidden="1">
      <c r="A37" s="15"/>
      <c r="B37" s="28">
        <v>505325.55</v>
      </c>
      <c r="C37" s="6" t="s">
        <v>94</v>
      </c>
      <c r="D37" s="10">
        <v>1963</v>
      </c>
      <c r="E37" s="11">
        <v>46064</v>
      </c>
      <c r="F37" s="10" t="s">
        <v>137</v>
      </c>
      <c r="G37" s="10" t="s">
        <v>162</v>
      </c>
      <c r="H37" s="11">
        <v>46071</v>
      </c>
      <c r="I37" s="11"/>
      <c r="J37" s="8">
        <v>46066</v>
      </c>
      <c r="K37" s="8" t="s">
        <v>7</v>
      </c>
      <c r="L37" s="8"/>
      <c r="M37" s="9" t="s">
        <v>3</v>
      </c>
      <c r="N37" s="9" t="s">
        <v>51</v>
      </c>
    </row>
    <row r="38" spans="1:14" ht="30" hidden="1">
      <c r="A38" s="15"/>
      <c r="B38" s="28">
        <v>183195</v>
      </c>
      <c r="C38" s="6" t="s">
        <v>98</v>
      </c>
      <c r="D38" s="10">
        <v>1964</v>
      </c>
      <c r="E38" s="11">
        <v>46066</v>
      </c>
      <c r="F38" s="10" t="s">
        <v>40</v>
      </c>
      <c r="G38" s="10" t="s">
        <v>141</v>
      </c>
      <c r="H38" s="11">
        <v>46073</v>
      </c>
      <c r="I38" s="11"/>
      <c r="J38" s="8">
        <v>46072</v>
      </c>
      <c r="K38" s="8" t="s">
        <v>7</v>
      </c>
      <c r="L38" s="8"/>
      <c r="M38" s="9" t="s">
        <v>3</v>
      </c>
      <c r="N38" s="9" t="s">
        <v>90</v>
      </c>
    </row>
    <row r="39" spans="1:14" ht="45" hidden="1">
      <c r="A39" s="15"/>
      <c r="B39" s="28">
        <v>1608.8319999999999</v>
      </c>
      <c r="C39" s="6" t="s">
        <v>100</v>
      </c>
      <c r="D39" s="10">
        <v>1965</v>
      </c>
      <c r="E39" s="11">
        <v>46071</v>
      </c>
      <c r="F39" s="10" t="s">
        <v>101</v>
      </c>
      <c r="G39" s="10" t="s">
        <v>163</v>
      </c>
      <c r="H39" s="11">
        <v>46083</v>
      </c>
      <c r="I39" s="11"/>
      <c r="J39" s="8">
        <v>46083</v>
      </c>
      <c r="K39" s="8" t="s">
        <v>7</v>
      </c>
      <c r="L39" s="8"/>
      <c r="M39" s="9" t="s">
        <v>3</v>
      </c>
      <c r="N39" s="9" t="s">
        <v>111</v>
      </c>
    </row>
    <row r="40" spans="1:14" ht="45" hidden="1">
      <c r="A40" s="15"/>
      <c r="B40" s="28">
        <v>916561.76399999997</v>
      </c>
      <c r="C40" s="6" t="s">
        <v>102</v>
      </c>
      <c r="D40" s="10">
        <v>1966</v>
      </c>
      <c r="E40" s="11">
        <v>46072</v>
      </c>
      <c r="F40" s="10" t="s">
        <v>137</v>
      </c>
      <c r="G40" s="10" t="s">
        <v>151</v>
      </c>
      <c r="H40" s="11">
        <v>46087</v>
      </c>
      <c r="I40" s="11"/>
      <c r="J40" s="8">
        <v>46076</v>
      </c>
      <c r="K40" s="8" t="s">
        <v>7</v>
      </c>
      <c r="L40" s="8"/>
      <c r="M40" s="9" t="s">
        <v>3</v>
      </c>
      <c r="N40" s="9" t="s">
        <v>118</v>
      </c>
    </row>
    <row r="41" spans="1:14" ht="45" hidden="1">
      <c r="A41" s="15"/>
      <c r="B41" s="28">
        <v>2263.6800000000003</v>
      </c>
      <c r="C41" s="6" t="s">
        <v>103</v>
      </c>
      <c r="D41" s="10">
        <v>1967</v>
      </c>
      <c r="E41" s="11">
        <v>46072</v>
      </c>
      <c r="F41" s="10" t="s">
        <v>85</v>
      </c>
      <c r="G41" s="10" t="s">
        <v>151</v>
      </c>
      <c r="H41" s="11">
        <v>46078</v>
      </c>
      <c r="I41" s="11"/>
      <c r="J41" s="8">
        <v>46084</v>
      </c>
      <c r="K41" s="8" t="s">
        <v>7</v>
      </c>
      <c r="L41" s="8"/>
      <c r="M41" s="9" t="s">
        <v>3</v>
      </c>
      <c r="N41" s="9" t="s">
        <v>113</v>
      </c>
    </row>
    <row r="42" spans="1:14" hidden="1">
      <c r="A42" s="15"/>
      <c r="B42" s="28">
        <v>1270000</v>
      </c>
      <c r="C42" s="6" t="s">
        <v>104</v>
      </c>
      <c r="D42" s="10">
        <v>1968</v>
      </c>
      <c r="E42" s="11">
        <v>46073</v>
      </c>
      <c r="F42" s="10" t="s">
        <v>146</v>
      </c>
      <c r="G42" s="10" t="s">
        <v>145</v>
      </c>
      <c r="H42" s="11">
        <v>46077</v>
      </c>
      <c r="I42" s="11"/>
      <c r="J42" s="8">
        <v>46073</v>
      </c>
      <c r="K42" s="8" t="s">
        <v>7</v>
      </c>
      <c r="L42" s="8"/>
      <c r="M42" s="9" t="s">
        <v>3</v>
      </c>
      <c r="N42" s="9" t="s">
        <v>105</v>
      </c>
    </row>
    <row r="43" spans="1:14" ht="210" hidden="1">
      <c r="A43" s="15"/>
      <c r="B43" s="28">
        <v>2064.5500000000002</v>
      </c>
      <c r="C43" s="6" t="s">
        <v>109</v>
      </c>
      <c r="D43" s="10">
        <v>1969</v>
      </c>
      <c r="E43" s="11">
        <v>46077</v>
      </c>
      <c r="F43" s="10" t="s">
        <v>108</v>
      </c>
      <c r="G43" s="10" t="s">
        <v>151</v>
      </c>
      <c r="H43" s="11">
        <v>46122</v>
      </c>
      <c r="I43" s="11"/>
      <c r="J43" s="8">
        <v>46127</v>
      </c>
      <c r="K43" s="8" t="s">
        <v>8</v>
      </c>
      <c r="L43" s="8" t="s">
        <v>13</v>
      </c>
      <c r="M43" s="9" t="s">
        <v>3</v>
      </c>
      <c r="N43" s="9" t="s">
        <v>187</v>
      </c>
    </row>
    <row r="44" spans="1:14" hidden="1">
      <c r="A44" s="15"/>
      <c r="B44" s="28">
        <v>6.5940000000000003</v>
      </c>
      <c r="C44" s="6" t="s">
        <v>112</v>
      </c>
      <c r="D44" s="10">
        <v>1970</v>
      </c>
      <c r="E44" s="11">
        <v>46080</v>
      </c>
      <c r="F44" s="10" t="s">
        <v>153</v>
      </c>
      <c r="G44" s="10" t="s">
        <v>78</v>
      </c>
      <c r="H44" s="11">
        <v>46085</v>
      </c>
      <c r="I44" s="11"/>
      <c r="J44" s="8">
        <v>46093</v>
      </c>
      <c r="K44" s="8" t="s">
        <v>8</v>
      </c>
      <c r="L44" s="8" t="s">
        <v>13</v>
      </c>
      <c r="M44" s="9" t="s">
        <v>3</v>
      </c>
      <c r="N44" s="9" t="s">
        <v>122</v>
      </c>
    </row>
    <row r="45" spans="1:14" hidden="1">
      <c r="A45" s="15"/>
      <c r="B45" s="28">
        <v>121</v>
      </c>
      <c r="C45" s="6" t="s">
        <v>114</v>
      </c>
      <c r="D45" s="10">
        <v>1971</v>
      </c>
      <c r="E45" s="11">
        <v>46084</v>
      </c>
      <c r="F45" s="10" t="s">
        <v>153</v>
      </c>
      <c r="G45" s="10" t="s">
        <v>70</v>
      </c>
      <c r="H45" s="11">
        <v>46099</v>
      </c>
      <c r="I45" s="11"/>
      <c r="J45" s="8">
        <v>46099</v>
      </c>
      <c r="K45" s="8" t="s">
        <v>7</v>
      </c>
      <c r="L45" s="8"/>
      <c r="M45" s="9" t="s">
        <v>3</v>
      </c>
      <c r="N45" s="9"/>
    </row>
    <row r="46" spans="1:14" hidden="1">
      <c r="A46" s="15"/>
      <c r="B46" s="28">
        <v>327766.60000000003</v>
      </c>
      <c r="C46" s="6" t="s">
        <v>115</v>
      </c>
      <c r="D46" s="10">
        <v>1972</v>
      </c>
      <c r="E46" s="11">
        <v>46085</v>
      </c>
      <c r="F46" s="10" t="s">
        <v>146</v>
      </c>
      <c r="G46" s="10" t="s">
        <v>145</v>
      </c>
      <c r="H46" s="11">
        <v>46085</v>
      </c>
      <c r="I46" s="11"/>
      <c r="J46" s="8">
        <v>46086</v>
      </c>
      <c r="K46" s="8" t="s">
        <v>7</v>
      </c>
      <c r="L46" s="8"/>
      <c r="M46" s="9" t="s">
        <v>3</v>
      </c>
      <c r="N46" s="9"/>
    </row>
    <row r="47" spans="1:14" ht="225" hidden="1">
      <c r="A47" s="15"/>
      <c r="B47" s="28">
        <v>2972</v>
      </c>
      <c r="C47" s="6" t="s">
        <v>116</v>
      </c>
      <c r="D47" s="10">
        <v>1973</v>
      </c>
      <c r="E47" s="11">
        <v>46087</v>
      </c>
      <c r="F47" s="10" t="s">
        <v>87</v>
      </c>
      <c r="G47" s="10" t="s">
        <v>151</v>
      </c>
      <c r="H47" s="11">
        <v>46129</v>
      </c>
      <c r="I47" s="11"/>
      <c r="J47" s="8">
        <v>46155</v>
      </c>
      <c r="K47" s="8" t="s">
        <v>8</v>
      </c>
      <c r="L47" s="8" t="s">
        <v>13</v>
      </c>
      <c r="M47" s="9" t="s">
        <v>3</v>
      </c>
      <c r="N47" s="9" t="s">
        <v>217</v>
      </c>
    </row>
    <row r="48" spans="1:14" hidden="1">
      <c r="A48" s="15"/>
      <c r="B48" s="28">
        <v>478091.27</v>
      </c>
      <c r="C48" s="6" t="s">
        <v>117</v>
      </c>
      <c r="D48" s="10">
        <v>1974</v>
      </c>
      <c r="E48" s="11">
        <v>46090</v>
      </c>
      <c r="F48" s="10" t="s">
        <v>137</v>
      </c>
      <c r="G48" s="10" t="s">
        <v>151</v>
      </c>
      <c r="H48" s="11">
        <v>46094</v>
      </c>
      <c r="I48" s="11"/>
      <c r="J48" s="8">
        <v>46092</v>
      </c>
      <c r="K48" s="8" t="s">
        <v>7</v>
      </c>
      <c r="L48" s="8"/>
      <c r="M48" s="9" t="s">
        <v>3</v>
      </c>
      <c r="N48" s="9" t="s">
        <v>119</v>
      </c>
    </row>
    <row r="49" spans="1:14" ht="45" hidden="1">
      <c r="A49" s="15"/>
      <c r="B49" s="28">
        <v>2590223.0099999998</v>
      </c>
      <c r="C49" s="6" t="s">
        <v>120</v>
      </c>
      <c r="D49" s="10">
        <v>1975</v>
      </c>
      <c r="E49" s="11">
        <v>46092</v>
      </c>
      <c r="F49" s="10" t="s">
        <v>146</v>
      </c>
      <c r="G49" s="10" t="s">
        <v>151</v>
      </c>
      <c r="H49" s="11">
        <v>46099</v>
      </c>
      <c r="I49" s="11"/>
      <c r="J49" s="8">
        <v>46101</v>
      </c>
      <c r="K49" s="8" t="s">
        <v>8</v>
      </c>
      <c r="L49" s="8" t="s">
        <v>12</v>
      </c>
      <c r="M49" s="9" t="s">
        <v>3</v>
      </c>
      <c r="N49" s="9" t="s">
        <v>131</v>
      </c>
    </row>
    <row r="50" spans="1:14" hidden="1">
      <c r="A50" s="15"/>
      <c r="B50" s="28">
        <v>1098028.4550000001</v>
      </c>
      <c r="C50" s="6" t="s">
        <v>121</v>
      </c>
      <c r="D50" s="10">
        <v>1976</v>
      </c>
      <c r="E50" s="11">
        <v>46092</v>
      </c>
      <c r="F50" s="10" t="s">
        <v>137</v>
      </c>
      <c r="G50" s="10" t="s">
        <v>151</v>
      </c>
      <c r="H50" s="11">
        <v>46097</v>
      </c>
      <c r="I50" s="11"/>
      <c r="J50" s="8">
        <v>46097</v>
      </c>
      <c r="K50" s="8" t="s">
        <v>7</v>
      </c>
      <c r="L50" s="8"/>
      <c r="M50" s="9" t="s">
        <v>3</v>
      </c>
      <c r="N50" s="9"/>
    </row>
    <row r="51" spans="1:14" ht="30" hidden="1">
      <c r="A51" s="15"/>
      <c r="B51" s="28">
        <v>54.6</v>
      </c>
      <c r="C51" s="6" t="s">
        <v>123</v>
      </c>
      <c r="D51" s="10">
        <v>1977</v>
      </c>
      <c r="E51" s="11">
        <v>46094</v>
      </c>
      <c r="F51" s="10" t="s">
        <v>153</v>
      </c>
      <c r="G51" s="10" t="s">
        <v>77</v>
      </c>
      <c r="H51" s="11">
        <v>46099</v>
      </c>
      <c r="I51" s="11"/>
      <c r="J51" s="8">
        <v>46100</v>
      </c>
      <c r="K51" s="8" t="s">
        <v>7</v>
      </c>
      <c r="L51" s="8"/>
      <c r="M51" s="9" t="s">
        <v>3</v>
      </c>
      <c r="N51" s="9" t="s">
        <v>90</v>
      </c>
    </row>
    <row r="52" spans="1:14" ht="45" hidden="1">
      <c r="A52" s="15"/>
      <c r="B52" s="28">
        <v>1097.45</v>
      </c>
      <c r="C52" s="6" t="s">
        <v>124</v>
      </c>
      <c r="D52" s="10">
        <v>1978</v>
      </c>
      <c r="E52" s="11">
        <v>46098</v>
      </c>
      <c r="F52" s="10" t="s">
        <v>164</v>
      </c>
      <c r="G52" s="10" t="s">
        <v>151</v>
      </c>
      <c r="H52" s="11">
        <v>46101</v>
      </c>
      <c r="I52" s="11"/>
      <c r="J52" s="8">
        <v>46104</v>
      </c>
      <c r="K52" s="8" t="s">
        <v>8</v>
      </c>
      <c r="L52" s="8" t="s">
        <v>12</v>
      </c>
      <c r="M52" s="9" t="s">
        <v>3</v>
      </c>
      <c r="N52" s="9" t="s">
        <v>132</v>
      </c>
    </row>
    <row r="53" spans="1:14" ht="30" hidden="1">
      <c r="A53" s="15"/>
      <c r="B53" s="28">
        <v>945.6</v>
      </c>
      <c r="C53" s="6" t="s">
        <v>125</v>
      </c>
      <c r="D53" s="10">
        <v>1979</v>
      </c>
      <c r="E53" s="11">
        <v>46100</v>
      </c>
      <c r="F53" s="10" t="s">
        <v>164</v>
      </c>
      <c r="G53" s="10" t="s">
        <v>151</v>
      </c>
      <c r="H53" s="11">
        <v>46105</v>
      </c>
      <c r="I53" s="11"/>
      <c r="J53" s="8">
        <v>46104</v>
      </c>
      <c r="K53" s="8" t="s">
        <v>7</v>
      </c>
      <c r="L53" s="8"/>
      <c r="M53" s="9" t="s">
        <v>3</v>
      </c>
      <c r="N53" s="9" t="s">
        <v>129</v>
      </c>
    </row>
    <row r="54" spans="1:14" ht="75" hidden="1">
      <c r="A54" s="15"/>
      <c r="B54" s="28">
        <v>899729.82200000016</v>
      </c>
      <c r="C54" s="6" t="s">
        <v>128</v>
      </c>
      <c r="D54" s="10">
        <v>1980</v>
      </c>
      <c r="E54" s="11">
        <v>46101</v>
      </c>
      <c r="F54" s="10" t="s">
        <v>137</v>
      </c>
      <c r="G54" s="10" t="s">
        <v>151</v>
      </c>
      <c r="H54" s="11">
        <v>46106</v>
      </c>
      <c r="I54" s="11"/>
      <c r="J54" s="8">
        <v>46107</v>
      </c>
      <c r="K54" s="8" t="s">
        <v>8</v>
      </c>
      <c r="L54" s="8" t="s">
        <v>13</v>
      </c>
      <c r="M54" s="9" t="s">
        <v>3</v>
      </c>
      <c r="N54" s="14" t="s">
        <v>201</v>
      </c>
    </row>
    <row r="55" spans="1:14" ht="30" hidden="1">
      <c r="A55" s="15"/>
      <c r="B55" s="28">
        <v>942.68000000000006</v>
      </c>
      <c r="C55" s="6" t="s">
        <v>126</v>
      </c>
      <c r="D55" s="10">
        <v>1981</v>
      </c>
      <c r="E55" s="11">
        <v>46099</v>
      </c>
      <c r="F55" s="10" t="s">
        <v>127</v>
      </c>
      <c r="G55" s="10" t="s">
        <v>151</v>
      </c>
      <c r="H55" s="11">
        <v>46106</v>
      </c>
      <c r="I55" s="11"/>
      <c r="J55" s="8">
        <v>46106</v>
      </c>
      <c r="K55" s="8" t="s">
        <v>7</v>
      </c>
      <c r="L55" s="8"/>
      <c r="M55" s="9" t="s">
        <v>3</v>
      </c>
      <c r="N55" s="9" t="s">
        <v>133</v>
      </c>
    </row>
    <row r="56" spans="1:14" ht="105" hidden="1">
      <c r="A56" s="15"/>
      <c r="B56" s="28">
        <v>189.55</v>
      </c>
      <c r="C56" s="6" t="s">
        <v>171</v>
      </c>
      <c r="D56" s="10">
        <v>1982</v>
      </c>
      <c r="E56" s="11">
        <v>46101</v>
      </c>
      <c r="F56" s="10" t="s">
        <v>65</v>
      </c>
      <c r="G56" s="10" t="s">
        <v>151</v>
      </c>
      <c r="H56" s="11">
        <v>46114</v>
      </c>
      <c r="I56" s="11"/>
      <c r="J56" s="8">
        <v>46158</v>
      </c>
      <c r="K56" s="8" t="s">
        <v>8</v>
      </c>
      <c r="L56" s="8" t="s">
        <v>13</v>
      </c>
      <c r="M56" s="9" t="s">
        <v>3</v>
      </c>
      <c r="N56" s="14" t="s">
        <v>209</v>
      </c>
    </row>
    <row r="57" spans="1:14" ht="330" hidden="1">
      <c r="A57" s="15"/>
      <c r="B57" s="28">
        <v>26318.400000000012</v>
      </c>
      <c r="C57" s="6" t="s">
        <v>169</v>
      </c>
      <c r="D57" s="10">
        <v>1983</v>
      </c>
      <c r="E57" s="11">
        <v>46106</v>
      </c>
      <c r="F57" s="10" t="s">
        <v>65</v>
      </c>
      <c r="G57" s="10" t="s">
        <v>170</v>
      </c>
      <c r="H57" s="11">
        <v>46121</v>
      </c>
      <c r="I57" s="11"/>
      <c r="J57" s="8">
        <v>46158</v>
      </c>
      <c r="K57" s="8" t="s">
        <v>8</v>
      </c>
      <c r="L57" s="8" t="s">
        <v>13</v>
      </c>
      <c r="M57" s="9" t="s">
        <v>3</v>
      </c>
      <c r="N57" s="9" t="s">
        <v>272</v>
      </c>
    </row>
    <row r="58" spans="1:14" ht="120" hidden="1">
      <c r="A58" s="15"/>
      <c r="B58" s="28">
        <v>7121.1100000000006</v>
      </c>
      <c r="C58" s="6" t="s">
        <v>174</v>
      </c>
      <c r="D58" s="10">
        <v>1984</v>
      </c>
      <c r="E58" s="11">
        <v>46106</v>
      </c>
      <c r="F58" s="10" t="s">
        <v>172</v>
      </c>
      <c r="G58" s="10" t="s">
        <v>173</v>
      </c>
      <c r="H58" s="11">
        <v>46140</v>
      </c>
      <c r="I58" s="11"/>
      <c r="J58" s="8">
        <v>46150</v>
      </c>
      <c r="K58" s="8" t="s">
        <v>8</v>
      </c>
      <c r="L58" s="8" t="s">
        <v>13</v>
      </c>
      <c r="M58" s="9" t="s">
        <v>3</v>
      </c>
      <c r="N58" s="9" t="s">
        <v>216</v>
      </c>
    </row>
    <row r="59" spans="1:14" hidden="1">
      <c r="A59" s="15"/>
      <c r="B59" s="28">
        <v>431.40000000000003</v>
      </c>
      <c r="C59" s="6" t="s">
        <v>175</v>
      </c>
      <c r="D59" s="10">
        <v>1985</v>
      </c>
      <c r="E59" s="11">
        <v>46107</v>
      </c>
      <c r="F59" s="10" t="s">
        <v>164</v>
      </c>
      <c r="G59" s="10" t="s">
        <v>151</v>
      </c>
      <c r="H59" s="11">
        <v>46111</v>
      </c>
      <c r="I59" s="11"/>
      <c r="J59" s="8">
        <v>46112</v>
      </c>
      <c r="K59" s="8" t="s">
        <v>7</v>
      </c>
      <c r="L59" s="8"/>
      <c r="M59" s="9" t="s">
        <v>3</v>
      </c>
      <c r="N59" s="9"/>
    </row>
    <row r="60" spans="1:14" hidden="1">
      <c r="A60" s="15"/>
      <c r="B60" s="28">
        <v>714932.13</v>
      </c>
      <c r="C60" s="6" t="s">
        <v>178</v>
      </c>
      <c r="D60" s="10">
        <v>1986</v>
      </c>
      <c r="E60" s="11">
        <v>46113</v>
      </c>
      <c r="F60" s="10" t="s">
        <v>176</v>
      </c>
      <c r="G60" s="10" t="s">
        <v>177</v>
      </c>
      <c r="H60" s="11">
        <v>46118</v>
      </c>
      <c r="I60" s="11"/>
      <c r="J60" s="8">
        <v>46121</v>
      </c>
      <c r="K60" s="8" t="s">
        <v>8</v>
      </c>
      <c r="L60" s="8" t="s">
        <v>13</v>
      </c>
      <c r="M60" s="9" t="s">
        <v>3</v>
      </c>
      <c r="N60" s="9"/>
    </row>
    <row r="61" spans="1:14" hidden="1">
      <c r="A61" s="15"/>
      <c r="B61" s="28">
        <v>773</v>
      </c>
      <c r="C61" s="6" t="s">
        <v>179</v>
      </c>
      <c r="D61" s="10">
        <v>1987</v>
      </c>
      <c r="E61" s="11">
        <v>46118</v>
      </c>
      <c r="F61" s="10" t="s">
        <v>164</v>
      </c>
      <c r="G61" s="10" t="s">
        <v>151</v>
      </c>
      <c r="H61" s="11">
        <v>46122</v>
      </c>
      <c r="I61" s="11"/>
      <c r="J61" s="8">
        <v>46121</v>
      </c>
      <c r="K61" s="8" t="s">
        <v>7</v>
      </c>
      <c r="L61" s="8"/>
      <c r="M61" s="9" t="s">
        <v>3</v>
      </c>
      <c r="N61" s="9" t="s">
        <v>182</v>
      </c>
    </row>
    <row r="62" spans="1:14" hidden="1">
      <c r="A62" s="15"/>
      <c r="B62" s="28">
        <v>1070146.28</v>
      </c>
      <c r="C62" s="6" t="s">
        <v>183</v>
      </c>
      <c r="D62" s="10">
        <v>1988</v>
      </c>
      <c r="E62" s="11">
        <v>46122</v>
      </c>
      <c r="F62" s="10" t="s">
        <v>146</v>
      </c>
      <c r="G62" s="10" t="s">
        <v>151</v>
      </c>
      <c r="H62" s="11">
        <v>46127</v>
      </c>
      <c r="I62" s="11"/>
      <c r="J62" s="8">
        <v>46127</v>
      </c>
      <c r="K62" s="8" t="s">
        <v>7</v>
      </c>
      <c r="L62" s="8"/>
      <c r="M62" s="9" t="s">
        <v>3</v>
      </c>
      <c r="N62" s="9" t="s">
        <v>51</v>
      </c>
    </row>
    <row r="63" spans="1:14" ht="255" hidden="1">
      <c r="A63" s="15"/>
      <c r="B63" s="28">
        <v>19712.889000000003</v>
      </c>
      <c r="C63" s="6" t="s">
        <v>185</v>
      </c>
      <c r="D63" s="10">
        <v>1989</v>
      </c>
      <c r="E63" s="11">
        <v>46126</v>
      </c>
      <c r="F63" s="10" t="s">
        <v>38</v>
      </c>
      <c r="G63" s="10" t="s">
        <v>184</v>
      </c>
      <c r="H63" s="11">
        <v>46156</v>
      </c>
      <c r="I63" s="11"/>
      <c r="J63" s="8">
        <v>46191</v>
      </c>
      <c r="K63" s="8" t="s">
        <v>8</v>
      </c>
      <c r="L63" s="8" t="s">
        <v>13</v>
      </c>
      <c r="M63" s="9" t="s">
        <v>3</v>
      </c>
      <c r="N63" s="9" t="s">
        <v>234</v>
      </c>
    </row>
    <row r="64" spans="1:14" hidden="1">
      <c r="A64" s="15"/>
      <c r="B64" s="28">
        <v>719</v>
      </c>
      <c r="C64" s="6" t="s">
        <v>186</v>
      </c>
      <c r="D64" s="10">
        <v>1990</v>
      </c>
      <c r="E64" s="11">
        <v>46126</v>
      </c>
      <c r="F64" s="10" t="s">
        <v>164</v>
      </c>
      <c r="G64" s="10" t="s">
        <v>151</v>
      </c>
      <c r="H64" s="11">
        <v>46130</v>
      </c>
      <c r="I64" s="11"/>
      <c r="J64" s="8">
        <v>46128</v>
      </c>
      <c r="K64" s="8" t="s">
        <v>7</v>
      </c>
      <c r="L64" s="8"/>
      <c r="M64" s="9" t="s">
        <v>3</v>
      </c>
      <c r="N64" s="9" t="s">
        <v>51</v>
      </c>
    </row>
    <row r="65" spans="1:14" ht="30" hidden="1">
      <c r="A65" s="15"/>
      <c r="B65" s="28">
        <v>1833013.4200000002</v>
      </c>
      <c r="C65" s="6" t="s">
        <v>189</v>
      </c>
      <c r="D65" s="10">
        <v>1991</v>
      </c>
      <c r="E65" s="11">
        <v>46127</v>
      </c>
      <c r="F65" s="10" t="s">
        <v>146</v>
      </c>
      <c r="G65" s="10" t="s">
        <v>188</v>
      </c>
      <c r="H65" s="11">
        <v>46132</v>
      </c>
      <c r="I65" s="11"/>
      <c r="J65" s="8">
        <v>46132</v>
      </c>
      <c r="K65" s="8" t="s">
        <v>7</v>
      </c>
      <c r="L65" s="8"/>
      <c r="M65" s="9" t="s">
        <v>3</v>
      </c>
      <c r="N65" s="9" t="s">
        <v>193</v>
      </c>
    </row>
    <row r="66" spans="1:14" ht="165" hidden="1">
      <c r="A66" s="15"/>
      <c r="B66" s="28">
        <v>11869</v>
      </c>
      <c r="C66" s="6" t="s">
        <v>190</v>
      </c>
      <c r="D66" s="10">
        <v>1992</v>
      </c>
      <c r="E66" s="11">
        <v>46129</v>
      </c>
      <c r="F66" s="10" t="s">
        <v>69</v>
      </c>
      <c r="G66" s="10" t="s">
        <v>184</v>
      </c>
      <c r="H66" s="11">
        <v>46154</v>
      </c>
      <c r="I66" s="11"/>
      <c r="J66" s="8">
        <v>46177</v>
      </c>
      <c r="K66" s="8" t="s">
        <v>8</v>
      </c>
      <c r="L66" s="8" t="s">
        <v>12</v>
      </c>
      <c r="M66" s="9" t="s">
        <v>3</v>
      </c>
      <c r="N66" s="9" t="s">
        <v>233</v>
      </c>
    </row>
    <row r="67" spans="1:14" ht="75" hidden="1">
      <c r="A67" s="15"/>
      <c r="B67" s="28">
        <v>10496233.02</v>
      </c>
      <c r="C67" s="6" t="s">
        <v>191</v>
      </c>
      <c r="D67" s="10">
        <v>1993</v>
      </c>
      <c r="E67" s="11">
        <v>46132</v>
      </c>
      <c r="F67" s="10" t="s">
        <v>108</v>
      </c>
      <c r="G67" s="10" t="s">
        <v>184</v>
      </c>
      <c r="H67" s="11">
        <v>46152</v>
      </c>
      <c r="I67" s="11"/>
      <c r="J67" s="8">
        <v>46198</v>
      </c>
      <c r="K67" s="8" t="s">
        <v>8</v>
      </c>
      <c r="L67" s="8" t="s">
        <v>13</v>
      </c>
      <c r="M67" s="9" t="s">
        <v>3</v>
      </c>
      <c r="N67" s="9" t="s">
        <v>262</v>
      </c>
    </row>
    <row r="68" spans="1:14" ht="45" hidden="1">
      <c r="A68" s="15"/>
      <c r="B68" s="28">
        <v>128267.1</v>
      </c>
      <c r="C68" s="6" t="s">
        <v>194</v>
      </c>
      <c r="D68" s="10">
        <v>1994</v>
      </c>
      <c r="E68" s="11">
        <v>46133</v>
      </c>
      <c r="F68" s="10" t="s">
        <v>137</v>
      </c>
      <c r="G68" s="10" t="s">
        <v>192</v>
      </c>
      <c r="H68" s="11">
        <v>46136</v>
      </c>
      <c r="I68" s="11"/>
      <c r="J68" s="8">
        <v>46139</v>
      </c>
      <c r="K68" s="8" t="s">
        <v>8</v>
      </c>
      <c r="L68" s="8" t="s">
        <v>13</v>
      </c>
      <c r="M68" s="9" t="s">
        <v>3</v>
      </c>
      <c r="N68" s="9" t="s">
        <v>202</v>
      </c>
    </row>
    <row r="69" spans="1:14" ht="30" hidden="1">
      <c r="A69" s="15"/>
      <c r="B69" s="28">
        <v>7548365.5</v>
      </c>
      <c r="C69" s="6" t="s">
        <v>195</v>
      </c>
      <c r="D69" s="10">
        <v>1995</v>
      </c>
      <c r="E69" s="11">
        <v>46133</v>
      </c>
      <c r="F69" s="10" t="s">
        <v>40</v>
      </c>
      <c r="G69" s="10" t="s">
        <v>184</v>
      </c>
      <c r="H69" s="11">
        <v>46149</v>
      </c>
      <c r="I69" s="11"/>
      <c r="J69" s="8">
        <v>46149</v>
      </c>
      <c r="K69" s="8" t="s">
        <v>7</v>
      </c>
      <c r="L69" s="8"/>
      <c r="M69" s="9" t="s">
        <v>3</v>
      </c>
      <c r="N69" s="9" t="s">
        <v>213</v>
      </c>
    </row>
    <row r="70" spans="1:14" hidden="1">
      <c r="A70" s="15"/>
      <c r="B70" s="28">
        <v>6047.4990239999997</v>
      </c>
      <c r="C70" s="6" t="s">
        <v>196</v>
      </c>
      <c r="D70" s="10">
        <v>1996</v>
      </c>
      <c r="E70" s="11">
        <v>46134</v>
      </c>
      <c r="F70" s="10" t="s">
        <v>55</v>
      </c>
      <c r="G70" s="10" t="s">
        <v>177</v>
      </c>
      <c r="H70" s="11">
        <v>46149</v>
      </c>
      <c r="I70" s="11"/>
      <c r="J70" s="8">
        <v>46139</v>
      </c>
      <c r="K70" s="8" t="s">
        <v>7</v>
      </c>
      <c r="L70" s="8"/>
      <c r="M70" s="9" t="s">
        <v>3</v>
      </c>
      <c r="N70" s="9" t="s">
        <v>203</v>
      </c>
    </row>
    <row r="71" spans="1:14" ht="60" hidden="1">
      <c r="A71" s="15"/>
      <c r="B71" s="28">
        <v>26263.999999999996</v>
      </c>
      <c r="C71" s="6" t="s">
        <v>199</v>
      </c>
      <c r="D71" s="10">
        <v>1997</v>
      </c>
      <c r="E71" s="11">
        <v>46136</v>
      </c>
      <c r="F71" s="10" t="s">
        <v>198</v>
      </c>
      <c r="G71" s="10" t="s">
        <v>197</v>
      </c>
      <c r="H71" s="11">
        <v>46150</v>
      </c>
      <c r="I71" s="11"/>
      <c r="J71" s="8">
        <v>46149</v>
      </c>
      <c r="K71" s="8" t="s">
        <v>7</v>
      </c>
      <c r="L71" s="8"/>
      <c r="M71" s="9" t="s">
        <v>3</v>
      </c>
      <c r="N71" s="9" t="s">
        <v>214</v>
      </c>
    </row>
    <row r="72" spans="1:14" hidden="1">
      <c r="A72" s="15"/>
      <c r="B72" s="28">
        <v>974.30000000000007</v>
      </c>
      <c r="C72" s="6" t="s">
        <v>200</v>
      </c>
      <c r="D72" s="10">
        <v>1998</v>
      </c>
      <c r="E72" s="11">
        <v>46136</v>
      </c>
      <c r="F72" s="10" t="s">
        <v>153</v>
      </c>
      <c r="G72" s="10" t="s">
        <v>184</v>
      </c>
      <c r="H72" s="11">
        <v>46156</v>
      </c>
      <c r="I72" s="11"/>
      <c r="J72" s="8">
        <v>46140</v>
      </c>
      <c r="K72" s="8" t="s">
        <v>7</v>
      </c>
      <c r="L72" s="8"/>
      <c r="M72" s="9" t="s">
        <v>3</v>
      </c>
      <c r="N72" s="9" t="s">
        <v>212</v>
      </c>
    </row>
    <row r="73" spans="1:14" hidden="1">
      <c r="A73" s="15"/>
      <c r="B73" s="28">
        <v>386.5</v>
      </c>
      <c r="C73" s="6" t="s">
        <v>204</v>
      </c>
      <c r="D73" s="10">
        <v>1999</v>
      </c>
      <c r="E73" s="11">
        <v>46140</v>
      </c>
      <c r="F73" s="10" t="s">
        <v>164</v>
      </c>
      <c r="G73" s="10" t="s">
        <v>151</v>
      </c>
      <c r="H73" s="11">
        <v>46144</v>
      </c>
      <c r="I73" s="11"/>
      <c r="J73" s="8">
        <v>46147</v>
      </c>
      <c r="K73" s="8" t="s">
        <v>8</v>
      </c>
      <c r="L73" s="8" t="s">
        <v>13</v>
      </c>
      <c r="M73" s="9" t="s">
        <v>3</v>
      </c>
      <c r="N73" s="9" t="s">
        <v>208</v>
      </c>
    </row>
    <row r="74" spans="1:14" hidden="1">
      <c r="A74" s="15"/>
      <c r="B74" s="28">
        <v>359.5</v>
      </c>
      <c r="C74" s="6" t="s">
        <v>205</v>
      </c>
      <c r="D74" s="10">
        <v>2000</v>
      </c>
      <c r="E74" s="11">
        <v>46141</v>
      </c>
      <c r="F74" s="10" t="s">
        <v>164</v>
      </c>
      <c r="G74" s="10" t="s">
        <v>151</v>
      </c>
      <c r="H74" s="11">
        <v>46147</v>
      </c>
      <c r="I74" s="11"/>
      <c r="J74" s="8">
        <v>46147</v>
      </c>
      <c r="K74" s="8" t="s">
        <v>7</v>
      </c>
      <c r="L74" s="8"/>
      <c r="M74" s="9" t="s">
        <v>3</v>
      </c>
      <c r="N74" s="9" t="s">
        <v>208</v>
      </c>
    </row>
    <row r="75" spans="1:14" hidden="1">
      <c r="A75" s="15"/>
      <c r="B75" s="28">
        <v>832.37</v>
      </c>
      <c r="C75" s="6" t="s">
        <v>206</v>
      </c>
      <c r="D75" s="10">
        <v>2001</v>
      </c>
      <c r="E75" s="11">
        <v>46141</v>
      </c>
      <c r="F75" s="10" t="s">
        <v>64</v>
      </c>
      <c r="G75" s="10" t="s">
        <v>184</v>
      </c>
      <c r="H75" s="11">
        <v>46148</v>
      </c>
      <c r="I75" s="11"/>
      <c r="J75" s="8">
        <v>46148</v>
      </c>
      <c r="K75" s="8" t="s">
        <v>7</v>
      </c>
      <c r="L75" s="8"/>
      <c r="M75" s="9" t="s">
        <v>3</v>
      </c>
      <c r="N75" s="9" t="s">
        <v>208</v>
      </c>
    </row>
    <row r="76" spans="1:14" hidden="1">
      <c r="A76" s="15"/>
      <c r="B76" s="28">
        <v>1021118.2100000001</v>
      </c>
      <c r="C76" s="6" t="s">
        <v>207</v>
      </c>
      <c r="D76" s="10">
        <v>2002</v>
      </c>
      <c r="E76" s="11">
        <v>46141</v>
      </c>
      <c r="F76" s="10" t="s">
        <v>137</v>
      </c>
      <c r="G76" s="10" t="s">
        <v>184</v>
      </c>
      <c r="H76" s="11">
        <v>46146</v>
      </c>
      <c r="I76" s="11"/>
      <c r="J76" s="8">
        <v>46146</v>
      </c>
      <c r="K76" s="8" t="s">
        <v>7</v>
      </c>
      <c r="L76" s="8"/>
      <c r="M76" s="9" t="s">
        <v>3</v>
      </c>
      <c r="N76" s="9" t="s">
        <v>210</v>
      </c>
    </row>
    <row r="77" spans="1:14" ht="45" hidden="1">
      <c r="A77" s="15"/>
      <c r="B77" s="28">
        <v>1750.29</v>
      </c>
      <c r="C77" s="6" t="s">
        <v>211</v>
      </c>
      <c r="D77" s="10">
        <v>2003</v>
      </c>
      <c r="E77" s="11">
        <v>46146</v>
      </c>
      <c r="F77" s="10" t="s">
        <v>172</v>
      </c>
      <c r="G77" s="10" t="s">
        <v>173</v>
      </c>
      <c r="H77" s="11">
        <v>46161</v>
      </c>
      <c r="I77" s="11"/>
      <c r="J77" s="8">
        <v>46170</v>
      </c>
      <c r="K77" s="8" t="s">
        <v>8</v>
      </c>
      <c r="L77" s="8" t="s">
        <v>12</v>
      </c>
      <c r="M77" s="9" t="s">
        <v>3</v>
      </c>
      <c r="N77" s="9" t="s">
        <v>228</v>
      </c>
    </row>
    <row r="78" spans="1:14" hidden="1">
      <c r="A78" s="15"/>
      <c r="B78" s="28">
        <v>887.19999999999993</v>
      </c>
      <c r="C78" s="6" t="s">
        <v>215</v>
      </c>
      <c r="D78" s="10">
        <v>2004</v>
      </c>
      <c r="E78" s="11">
        <v>46149</v>
      </c>
      <c r="F78" s="10" t="s">
        <v>64</v>
      </c>
      <c r="G78" s="10" t="s">
        <v>170</v>
      </c>
      <c r="H78" s="11">
        <v>46164</v>
      </c>
      <c r="I78" s="11"/>
      <c r="J78" s="8">
        <v>46156</v>
      </c>
      <c r="K78" s="8" t="s">
        <v>7</v>
      </c>
      <c r="L78" s="8"/>
      <c r="M78" s="9" t="s">
        <v>3</v>
      </c>
      <c r="N78" s="9"/>
    </row>
    <row r="79" spans="1:14" hidden="1">
      <c r="A79" s="15"/>
      <c r="B79" s="28">
        <v>392.90400000000005</v>
      </c>
      <c r="C79" s="6" t="s">
        <v>218</v>
      </c>
      <c r="D79" s="10">
        <v>2005</v>
      </c>
      <c r="E79" s="11">
        <v>46157</v>
      </c>
      <c r="F79" s="10" t="s">
        <v>153</v>
      </c>
      <c r="G79" s="10" t="s">
        <v>188</v>
      </c>
      <c r="H79" s="11">
        <v>46177</v>
      </c>
      <c r="I79" s="11"/>
      <c r="J79" s="8">
        <v>46162</v>
      </c>
      <c r="K79" s="8" t="s">
        <v>7</v>
      </c>
      <c r="L79" s="8"/>
      <c r="M79" s="9" t="s">
        <v>3</v>
      </c>
      <c r="N79" s="9" t="s">
        <v>220</v>
      </c>
    </row>
    <row r="80" spans="1:14" hidden="1">
      <c r="A80" s="15"/>
      <c r="B80" s="28">
        <v>1896642.5519999999</v>
      </c>
      <c r="C80" s="6" t="s">
        <v>219</v>
      </c>
      <c r="D80" s="10">
        <v>2006</v>
      </c>
      <c r="E80" s="11">
        <v>46161</v>
      </c>
      <c r="F80" s="10" t="s">
        <v>64</v>
      </c>
      <c r="G80" s="10" t="s">
        <v>170</v>
      </c>
      <c r="H80" s="11">
        <v>46176</v>
      </c>
      <c r="I80" s="11"/>
      <c r="J80" s="8">
        <v>46170</v>
      </c>
      <c r="K80" s="8" t="s">
        <v>7</v>
      </c>
      <c r="L80" s="8"/>
      <c r="M80" s="9" t="s">
        <v>3</v>
      </c>
      <c r="N80" s="9" t="s">
        <v>229</v>
      </c>
    </row>
    <row r="81" spans="1:14" hidden="1">
      <c r="A81" s="15"/>
      <c r="B81" s="28">
        <v>903.15000000000009</v>
      </c>
      <c r="C81" s="6" t="s">
        <v>221</v>
      </c>
      <c r="D81" s="10">
        <v>2007</v>
      </c>
      <c r="E81" s="11">
        <v>46162</v>
      </c>
      <c r="F81" s="10" t="s">
        <v>59</v>
      </c>
      <c r="G81" s="10" t="s">
        <v>184</v>
      </c>
      <c r="H81" s="11">
        <v>46169</v>
      </c>
      <c r="I81" s="11"/>
      <c r="J81" s="8">
        <v>46168</v>
      </c>
      <c r="K81" s="8" t="s">
        <v>7</v>
      </c>
      <c r="L81" s="8"/>
      <c r="M81" s="9" t="s">
        <v>3</v>
      </c>
      <c r="N81" s="9" t="s">
        <v>222</v>
      </c>
    </row>
    <row r="82" spans="1:14" hidden="1">
      <c r="A82" s="15"/>
      <c r="B82" s="28">
        <v>270670.77</v>
      </c>
      <c r="C82" s="6" t="s">
        <v>224</v>
      </c>
      <c r="D82" s="10">
        <v>2008</v>
      </c>
      <c r="E82" s="11">
        <v>46163</v>
      </c>
      <c r="F82" s="10" t="s">
        <v>137</v>
      </c>
      <c r="G82" s="10" t="s">
        <v>184</v>
      </c>
      <c r="H82" s="11">
        <v>46168</v>
      </c>
      <c r="I82" s="11"/>
      <c r="J82" s="8">
        <v>46168</v>
      </c>
      <c r="K82" s="8" t="s">
        <v>7</v>
      </c>
      <c r="L82" s="8"/>
      <c r="M82" s="9" t="s">
        <v>3</v>
      </c>
      <c r="N82" s="9" t="s">
        <v>51</v>
      </c>
    </row>
    <row r="83" spans="1:14" hidden="1">
      <c r="A83" s="15"/>
      <c r="B83" s="28">
        <v>2316800</v>
      </c>
      <c r="C83" s="6" t="s">
        <v>225</v>
      </c>
      <c r="D83" s="10">
        <v>2009</v>
      </c>
      <c r="E83" s="11">
        <v>46164</v>
      </c>
      <c r="F83" s="10" t="s">
        <v>146</v>
      </c>
      <c r="G83" s="10" t="s">
        <v>184</v>
      </c>
      <c r="H83" s="11">
        <v>46169</v>
      </c>
      <c r="I83" s="11"/>
      <c r="J83" s="8">
        <v>46177</v>
      </c>
      <c r="K83" s="8" t="s">
        <v>8</v>
      </c>
      <c r="L83" s="8" t="s">
        <v>12</v>
      </c>
      <c r="M83" s="9" t="s">
        <v>3</v>
      </c>
      <c r="N83" s="9" t="s">
        <v>232</v>
      </c>
    </row>
    <row r="84" spans="1:14" hidden="1">
      <c r="A84" s="15"/>
      <c r="B84" s="28">
        <v>24964.799999999999</v>
      </c>
      <c r="C84" s="6" t="s">
        <v>226</v>
      </c>
      <c r="D84" s="10">
        <v>2010</v>
      </c>
      <c r="E84" s="11">
        <v>46164</v>
      </c>
      <c r="F84" s="10" t="s">
        <v>223</v>
      </c>
      <c r="G84" s="10" t="s">
        <v>170</v>
      </c>
      <c r="H84" s="11">
        <v>46171</v>
      </c>
      <c r="I84" s="11"/>
      <c r="J84" s="8">
        <v>46171</v>
      </c>
      <c r="K84" s="8" t="s">
        <v>7</v>
      </c>
      <c r="L84" s="8"/>
      <c r="M84" s="9" t="s">
        <v>3</v>
      </c>
      <c r="N84" s="9" t="s">
        <v>51</v>
      </c>
    </row>
    <row r="85" spans="1:14" hidden="1">
      <c r="A85" s="15"/>
      <c r="B85" s="28">
        <v>1028577.1599999999</v>
      </c>
      <c r="C85" s="6" t="s">
        <v>227</v>
      </c>
      <c r="D85" s="10">
        <v>2011</v>
      </c>
      <c r="E85" s="11">
        <v>46169</v>
      </c>
      <c r="F85" s="10" t="s">
        <v>137</v>
      </c>
      <c r="G85" s="10" t="s">
        <v>170</v>
      </c>
      <c r="H85" s="11">
        <v>46176</v>
      </c>
      <c r="I85" s="11"/>
      <c r="J85" s="8">
        <v>46174</v>
      </c>
      <c r="K85" s="8" t="s">
        <v>7</v>
      </c>
      <c r="L85" s="8"/>
      <c r="M85" s="9" t="s">
        <v>3</v>
      </c>
      <c r="N85" s="9" t="s">
        <v>51</v>
      </c>
    </row>
    <row r="86" spans="1:14" hidden="1">
      <c r="A86" s="15"/>
      <c r="B86" s="28">
        <v>276980</v>
      </c>
      <c r="C86" s="6" t="s">
        <v>230</v>
      </c>
      <c r="D86" s="10">
        <v>2012</v>
      </c>
      <c r="E86" s="11">
        <v>46175</v>
      </c>
      <c r="F86" s="10" t="s">
        <v>40</v>
      </c>
      <c r="G86" s="10" t="s">
        <v>184</v>
      </c>
      <c r="H86" s="11">
        <v>46181</v>
      </c>
      <c r="I86" s="11"/>
      <c r="J86" s="8">
        <v>46178</v>
      </c>
      <c r="K86" s="8" t="s">
        <v>7</v>
      </c>
      <c r="L86" s="8"/>
      <c r="M86" s="9" t="s">
        <v>3</v>
      </c>
      <c r="N86" s="9" t="s">
        <v>51</v>
      </c>
    </row>
    <row r="87" spans="1:14" hidden="1">
      <c r="A87" s="15"/>
      <c r="B87" s="28">
        <v>5851.7759999999998</v>
      </c>
      <c r="C87" s="6" t="s">
        <v>231</v>
      </c>
      <c r="D87" s="10">
        <v>2013</v>
      </c>
      <c r="E87" s="11">
        <v>46175</v>
      </c>
      <c r="F87" s="10" t="s">
        <v>198</v>
      </c>
      <c r="G87" s="10" t="s">
        <v>197</v>
      </c>
      <c r="H87" s="11">
        <v>46178</v>
      </c>
      <c r="I87" s="11"/>
      <c r="J87" s="8">
        <v>46177</v>
      </c>
      <c r="K87" s="8" t="s">
        <v>7</v>
      </c>
      <c r="L87" s="8"/>
      <c r="M87" s="9" t="s">
        <v>3</v>
      </c>
      <c r="N87" s="9" t="s">
        <v>51</v>
      </c>
    </row>
    <row r="88" spans="1:14" hidden="1">
      <c r="A88" s="15"/>
      <c r="B88" s="28">
        <v>205320</v>
      </c>
      <c r="C88" s="6" t="s">
        <v>194</v>
      </c>
      <c r="D88" s="10">
        <v>2014</v>
      </c>
      <c r="E88" s="11">
        <v>46176</v>
      </c>
      <c r="F88" s="10" t="s">
        <v>137</v>
      </c>
      <c r="G88" s="10" t="s">
        <v>192</v>
      </c>
      <c r="H88" s="11">
        <v>46186</v>
      </c>
      <c r="I88" s="11"/>
      <c r="J88" s="8">
        <v>46211</v>
      </c>
      <c r="K88" s="8" t="s">
        <v>8</v>
      </c>
      <c r="L88" s="8" t="s">
        <v>13</v>
      </c>
      <c r="M88" s="9" t="s">
        <v>3</v>
      </c>
      <c r="N88" s="9" t="s">
        <v>283</v>
      </c>
    </row>
    <row r="89" spans="1:14" hidden="1">
      <c r="A89" s="15"/>
      <c r="B89" s="28">
        <v>89334</v>
      </c>
      <c r="C89" s="6" t="s">
        <v>235</v>
      </c>
      <c r="D89" s="10">
        <v>2015</v>
      </c>
      <c r="E89" s="11">
        <v>46181</v>
      </c>
      <c r="F89" s="10" t="s">
        <v>223</v>
      </c>
      <c r="G89" s="10" t="s">
        <v>170</v>
      </c>
      <c r="H89" s="11">
        <v>46188</v>
      </c>
      <c r="I89" s="11"/>
      <c r="J89" s="8">
        <v>46183</v>
      </c>
      <c r="K89" s="8" t="s">
        <v>7</v>
      </c>
      <c r="L89" s="8"/>
      <c r="M89" s="9" t="s">
        <v>3</v>
      </c>
      <c r="N89" s="9" t="s">
        <v>51</v>
      </c>
    </row>
    <row r="90" spans="1:14" hidden="1">
      <c r="A90" s="15"/>
      <c r="B90" s="28">
        <v>714</v>
      </c>
      <c r="C90" s="6" t="s">
        <v>236</v>
      </c>
      <c r="D90" s="10">
        <v>2016</v>
      </c>
      <c r="E90" s="11">
        <v>46185</v>
      </c>
      <c r="F90" s="10" t="s">
        <v>198</v>
      </c>
      <c r="G90" s="10" t="s">
        <v>184</v>
      </c>
      <c r="H90" s="11">
        <v>46192</v>
      </c>
      <c r="I90" s="11"/>
      <c r="J90" s="8">
        <v>46191</v>
      </c>
      <c r="K90" s="8" t="s">
        <v>7</v>
      </c>
      <c r="L90" s="8"/>
      <c r="M90" s="9" t="s">
        <v>3</v>
      </c>
      <c r="N90" s="9" t="s">
        <v>252</v>
      </c>
    </row>
    <row r="91" spans="1:14" ht="30" hidden="1">
      <c r="A91" s="15"/>
      <c r="B91" s="28">
        <v>1035.5840000000001</v>
      </c>
      <c r="C91" s="6" t="s">
        <v>237</v>
      </c>
      <c r="D91" s="10">
        <v>2017</v>
      </c>
      <c r="E91" s="11">
        <v>46185</v>
      </c>
      <c r="F91" s="10" t="s">
        <v>101</v>
      </c>
      <c r="G91" s="10" t="s">
        <v>184</v>
      </c>
      <c r="H91" s="11">
        <v>46197</v>
      </c>
      <c r="I91" s="11"/>
      <c r="J91" s="8">
        <v>46190</v>
      </c>
      <c r="K91" s="8" t="s">
        <v>7</v>
      </c>
      <c r="L91" s="8"/>
      <c r="M91" s="9" t="s">
        <v>3</v>
      </c>
      <c r="N91" s="9" t="s">
        <v>266</v>
      </c>
    </row>
    <row r="92" spans="1:14" hidden="1">
      <c r="A92" s="15"/>
      <c r="B92" s="28">
        <v>576230</v>
      </c>
      <c r="C92" s="6" t="s">
        <v>247</v>
      </c>
      <c r="D92" s="10">
        <v>2018</v>
      </c>
      <c r="E92" s="11">
        <v>46190</v>
      </c>
      <c r="F92" s="10" t="s">
        <v>137</v>
      </c>
      <c r="G92" s="10" t="s">
        <v>248</v>
      </c>
      <c r="H92" s="11">
        <v>46197</v>
      </c>
      <c r="I92" s="11"/>
      <c r="J92" s="8">
        <v>46192</v>
      </c>
      <c r="K92" s="8" t="s">
        <v>7</v>
      </c>
      <c r="L92" s="8"/>
      <c r="M92" s="9" t="s">
        <v>3</v>
      </c>
      <c r="N92" s="9" t="s">
        <v>253</v>
      </c>
    </row>
    <row r="93" spans="1:14" ht="30" hidden="1">
      <c r="A93" s="15"/>
      <c r="B93" s="28">
        <v>1447411.2</v>
      </c>
      <c r="C93" s="6" t="s">
        <v>238</v>
      </c>
      <c r="D93" s="10">
        <v>2019</v>
      </c>
      <c r="E93" s="11">
        <v>46189</v>
      </c>
      <c r="F93" s="10" t="s">
        <v>146</v>
      </c>
      <c r="G93" s="10" t="s">
        <v>188</v>
      </c>
      <c r="H93" s="11">
        <v>46194</v>
      </c>
      <c r="I93" s="11"/>
      <c r="J93" s="8">
        <v>46192</v>
      </c>
      <c r="K93" s="8" t="s">
        <v>7</v>
      </c>
      <c r="L93" s="8"/>
      <c r="M93" s="9" t="s">
        <v>3</v>
      </c>
      <c r="N93" s="9" t="s">
        <v>254</v>
      </c>
    </row>
    <row r="94" spans="1:14" ht="30" hidden="1">
      <c r="A94" s="15"/>
      <c r="B94" s="28">
        <v>3672.9</v>
      </c>
      <c r="C94" s="6" t="s">
        <v>241</v>
      </c>
      <c r="D94" s="10">
        <v>2020</v>
      </c>
      <c r="E94" s="11">
        <v>46189</v>
      </c>
      <c r="F94" s="10" t="s">
        <v>164</v>
      </c>
      <c r="G94" s="10" t="s">
        <v>239</v>
      </c>
      <c r="H94" s="11">
        <v>46195</v>
      </c>
      <c r="I94" s="11"/>
      <c r="J94" s="8">
        <v>46195</v>
      </c>
      <c r="K94" s="8" t="s">
        <v>7</v>
      </c>
      <c r="L94" s="8"/>
      <c r="M94" s="9" t="s">
        <v>3</v>
      </c>
      <c r="N94" s="9" t="s">
        <v>257</v>
      </c>
    </row>
    <row r="95" spans="1:14" ht="45" hidden="1">
      <c r="A95" s="15"/>
      <c r="B95" s="28">
        <v>693.48</v>
      </c>
      <c r="C95" s="6" t="s">
        <v>242</v>
      </c>
      <c r="D95" s="10">
        <v>2021</v>
      </c>
      <c r="E95" s="11">
        <v>46189</v>
      </c>
      <c r="F95" s="10" t="s">
        <v>240</v>
      </c>
      <c r="G95" s="10" t="s">
        <v>239</v>
      </c>
      <c r="H95" s="11">
        <v>46195</v>
      </c>
      <c r="I95" s="11"/>
      <c r="J95" s="8">
        <v>46195</v>
      </c>
      <c r="K95" s="8" t="s">
        <v>7</v>
      </c>
      <c r="L95" s="8"/>
      <c r="M95" s="9" t="s">
        <v>3</v>
      </c>
      <c r="N95" s="9" t="s">
        <v>259</v>
      </c>
    </row>
    <row r="96" spans="1:14" hidden="1">
      <c r="A96" s="15"/>
      <c r="B96" s="28">
        <v>6595.5</v>
      </c>
      <c r="C96" s="6" t="s">
        <v>246</v>
      </c>
      <c r="D96" s="10">
        <v>2022</v>
      </c>
      <c r="E96" s="11">
        <v>46190</v>
      </c>
      <c r="F96" s="10" t="s">
        <v>244</v>
      </c>
      <c r="G96" s="10" t="s">
        <v>245</v>
      </c>
      <c r="H96" s="11">
        <v>46198</v>
      </c>
      <c r="I96" s="11"/>
      <c r="J96" s="8">
        <v>46198</v>
      </c>
      <c r="K96" s="8" t="s">
        <v>7</v>
      </c>
      <c r="L96" s="8"/>
      <c r="M96" s="9" t="s">
        <v>3</v>
      </c>
      <c r="N96" s="9"/>
    </row>
    <row r="97" spans="1:14" hidden="1">
      <c r="A97" s="15"/>
      <c r="B97" s="28">
        <v>5001606.25</v>
      </c>
      <c r="C97" s="6" t="s">
        <v>243</v>
      </c>
      <c r="D97" s="10">
        <v>2023</v>
      </c>
      <c r="E97" s="11">
        <v>46190</v>
      </c>
      <c r="F97" s="10" t="s">
        <v>146</v>
      </c>
      <c r="G97" s="10" t="s">
        <v>239</v>
      </c>
      <c r="H97" s="11">
        <v>46197</v>
      </c>
      <c r="I97" s="11"/>
      <c r="J97" s="8">
        <v>46195</v>
      </c>
      <c r="K97" s="8" t="s">
        <v>7</v>
      </c>
      <c r="L97" s="8"/>
      <c r="M97" s="9" t="s">
        <v>3</v>
      </c>
      <c r="N97" s="9" t="s">
        <v>256</v>
      </c>
    </row>
    <row r="98" spans="1:14" hidden="1">
      <c r="A98" s="15"/>
      <c r="B98" s="28">
        <v>999742.32000000007</v>
      </c>
      <c r="C98" s="6" t="s">
        <v>251</v>
      </c>
      <c r="D98" s="10">
        <v>2024</v>
      </c>
      <c r="E98" s="11">
        <v>46191</v>
      </c>
      <c r="F98" s="10" t="s">
        <v>250</v>
      </c>
      <c r="G98" s="10" t="s">
        <v>239</v>
      </c>
      <c r="H98" s="11">
        <v>46195</v>
      </c>
      <c r="I98" s="11"/>
      <c r="J98" s="8">
        <v>46195</v>
      </c>
      <c r="K98" s="8" t="s">
        <v>7</v>
      </c>
      <c r="L98" s="8"/>
      <c r="M98" s="9" t="s">
        <v>3</v>
      </c>
      <c r="N98" s="9" t="s">
        <v>256</v>
      </c>
    </row>
    <row r="99" spans="1:14" hidden="1">
      <c r="A99" s="15"/>
      <c r="B99" s="28">
        <v>256581.92</v>
      </c>
      <c r="C99" s="6" t="s">
        <v>255</v>
      </c>
      <c r="D99" s="10">
        <v>2025</v>
      </c>
      <c r="E99" s="11">
        <v>46192</v>
      </c>
      <c r="F99" s="10" t="s">
        <v>146</v>
      </c>
      <c r="G99" s="10" t="s">
        <v>184</v>
      </c>
      <c r="H99" s="11">
        <v>46199</v>
      </c>
      <c r="I99" s="11"/>
      <c r="J99" s="8">
        <v>46199</v>
      </c>
      <c r="K99" s="8" t="s">
        <v>7</v>
      </c>
      <c r="L99" s="8"/>
      <c r="M99" s="9" t="s">
        <v>3</v>
      </c>
      <c r="N99" s="9" t="s">
        <v>265</v>
      </c>
    </row>
    <row r="100" spans="1:14" hidden="1">
      <c r="A100" s="15"/>
      <c r="B100" s="28">
        <v>2715078.9575</v>
      </c>
      <c r="C100" s="6" t="s">
        <v>258</v>
      </c>
      <c r="D100" s="10">
        <v>2026</v>
      </c>
      <c r="E100" s="11">
        <v>46195</v>
      </c>
      <c r="F100" s="10" t="s">
        <v>250</v>
      </c>
      <c r="G100" s="10" t="s">
        <v>192</v>
      </c>
      <c r="H100" s="11">
        <v>46200</v>
      </c>
      <c r="I100" s="11"/>
      <c r="J100" s="8">
        <v>46197</v>
      </c>
      <c r="K100" s="8" t="s">
        <v>7</v>
      </c>
      <c r="L100" s="8"/>
      <c r="M100" s="9" t="s">
        <v>3</v>
      </c>
      <c r="N100" s="9" t="s">
        <v>261</v>
      </c>
    </row>
    <row r="101" spans="1:14" hidden="1">
      <c r="A101" s="15"/>
      <c r="B101" s="28">
        <v>1285.7600000000002</v>
      </c>
      <c r="C101" s="6" t="s">
        <v>260</v>
      </c>
      <c r="D101" s="10">
        <v>2027</v>
      </c>
      <c r="E101" s="11">
        <v>46196</v>
      </c>
      <c r="F101" s="10" t="s">
        <v>198</v>
      </c>
      <c r="G101" s="10" t="s">
        <v>184</v>
      </c>
      <c r="H101" s="11">
        <v>46203</v>
      </c>
      <c r="I101" s="11"/>
      <c r="J101" s="8">
        <v>46199</v>
      </c>
      <c r="K101" s="8" t="s">
        <v>7</v>
      </c>
      <c r="L101" s="8"/>
      <c r="M101" s="9" t="s">
        <v>3</v>
      </c>
      <c r="N101" s="9" t="s">
        <v>249</v>
      </c>
    </row>
    <row r="102" spans="1:14" hidden="1">
      <c r="A102" s="15"/>
      <c r="B102" s="28">
        <v>393861.92000000004</v>
      </c>
      <c r="C102" s="6" t="s">
        <v>264</v>
      </c>
      <c r="D102" s="10">
        <v>2028</v>
      </c>
      <c r="E102" s="11">
        <v>46199</v>
      </c>
      <c r="F102" s="10" t="s">
        <v>146</v>
      </c>
      <c r="G102" s="10" t="s">
        <v>263</v>
      </c>
      <c r="H102" s="11">
        <v>46206</v>
      </c>
      <c r="I102" s="11"/>
      <c r="J102" s="8">
        <v>46205</v>
      </c>
      <c r="K102" s="8" t="s">
        <v>7</v>
      </c>
      <c r="L102" s="8"/>
      <c r="M102" s="9" t="s">
        <v>3</v>
      </c>
      <c r="N102" s="9" t="s">
        <v>51</v>
      </c>
    </row>
    <row r="103" spans="1:14" hidden="1">
      <c r="A103" s="15"/>
      <c r="B103" s="28">
        <v>553960</v>
      </c>
      <c r="C103" s="6" t="s">
        <v>269</v>
      </c>
      <c r="D103" s="10">
        <v>2029</v>
      </c>
      <c r="E103" s="11">
        <v>46202</v>
      </c>
      <c r="F103" s="10" t="s">
        <v>40</v>
      </c>
      <c r="G103" s="10" t="s">
        <v>267</v>
      </c>
      <c r="H103" s="11">
        <v>46212</v>
      </c>
      <c r="I103" s="11"/>
      <c r="J103" s="8">
        <v>46225</v>
      </c>
      <c r="K103" s="8" t="s">
        <v>8</v>
      </c>
      <c r="L103" s="8" t="s">
        <v>12</v>
      </c>
      <c r="M103" s="9" t="s">
        <v>3</v>
      </c>
      <c r="N103" s="9" t="s">
        <v>303</v>
      </c>
    </row>
    <row r="104" spans="1:14" hidden="1">
      <c r="A104" s="15"/>
      <c r="B104" s="28">
        <v>15.66</v>
      </c>
      <c r="C104" s="6" t="s">
        <v>270</v>
      </c>
      <c r="D104" s="10">
        <v>2030</v>
      </c>
      <c r="E104" s="11">
        <v>46203</v>
      </c>
      <c r="F104" s="10" t="s">
        <v>153</v>
      </c>
      <c r="G104" s="10" t="s">
        <v>192</v>
      </c>
      <c r="H104" s="11">
        <v>46210</v>
      </c>
      <c r="I104" s="11"/>
      <c r="J104" s="8">
        <v>46206</v>
      </c>
      <c r="K104" s="8" t="s">
        <v>7</v>
      </c>
      <c r="L104" s="8"/>
      <c r="M104" s="9" t="s">
        <v>3</v>
      </c>
      <c r="N104" s="9" t="s">
        <v>51</v>
      </c>
    </row>
    <row r="105" spans="1:14" hidden="1">
      <c r="A105" s="15"/>
      <c r="B105" s="28">
        <v>203336</v>
      </c>
      <c r="C105" s="6" t="s">
        <v>271</v>
      </c>
      <c r="D105" s="10">
        <v>2031</v>
      </c>
      <c r="E105" s="11">
        <v>46204</v>
      </c>
      <c r="F105" s="10" t="s">
        <v>223</v>
      </c>
      <c r="G105" s="10" t="s">
        <v>268</v>
      </c>
      <c r="H105" s="11">
        <v>46211</v>
      </c>
      <c r="I105" s="11"/>
      <c r="J105" s="8">
        <v>46205</v>
      </c>
      <c r="K105" s="8" t="s">
        <v>7</v>
      </c>
      <c r="L105" s="8"/>
      <c r="M105" s="9" t="s">
        <v>3</v>
      </c>
      <c r="N105" s="9" t="s">
        <v>51</v>
      </c>
    </row>
    <row r="106" spans="1:14" hidden="1">
      <c r="A106" s="15"/>
      <c r="B106" s="28">
        <v>294.95000000000005</v>
      </c>
      <c r="C106" s="6" t="s">
        <v>280</v>
      </c>
      <c r="D106" s="10">
        <v>2032</v>
      </c>
      <c r="E106" s="11">
        <v>46205</v>
      </c>
      <c r="F106" s="10" t="s">
        <v>140</v>
      </c>
      <c r="G106" s="10" t="s">
        <v>273</v>
      </c>
      <c r="H106" s="11">
        <v>46215</v>
      </c>
      <c r="I106" s="11"/>
      <c r="J106" s="8">
        <v>46219</v>
      </c>
      <c r="K106" s="8" t="s">
        <v>8</v>
      </c>
      <c r="L106" s="8" t="s">
        <v>13</v>
      </c>
      <c r="M106" s="9" t="s">
        <v>3</v>
      </c>
      <c r="N106" s="9" t="s">
        <v>304</v>
      </c>
    </row>
    <row r="107" spans="1:14" hidden="1">
      <c r="A107" s="15"/>
      <c r="B107" s="28">
        <v>282.04200000000003</v>
      </c>
      <c r="C107" s="6" t="s">
        <v>274</v>
      </c>
      <c r="D107" s="10">
        <v>2033</v>
      </c>
      <c r="E107" s="11">
        <v>46205</v>
      </c>
      <c r="F107" s="10" t="s">
        <v>153</v>
      </c>
      <c r="G107" s="10" t="s">
        <v>273</v>
      </c>
      <c r="H107" s="11">
        <v>46212</v>
      </c>
      <c r="I107" s="11"/>
      <c r="J107" s="8">
        <v>46211</v>
      </c>
      <c r="K107" s="8" t="s">
        <v>7</v>
      </c>
      <c r="L107" s="8"/>
      <c r="M107" s="9" t="s">
        <v>3</v>
      </c>
      <c r="N107" s="9" t="s">
        <v>51</v>
      </c>
    </row>
    <row r="108" spans="1:14" ht="90" hidden="1">
      <c r="A108" s="15"/>
      <c r="B108" s="28">
        <v>578.28</v>
      </c>
      <c r="C108" s="6" t="s">
        <v>389</v>
      </c>
      <c r="D108" s="10">
        <v>2034</v>
      </c>
      <c r="E108" s="11">
        <v>46205</v>
      </c>
      <c r="F108" s="10" t="s">
        <v>59</v>
      </c>
      <c r="G108" s="10" t="s">
        <v>402</v>
      </c>
      <c r="H108" s="11">
        <v>46245</v>
      </c>
      <c r="I108" s="11"/>
      <c r="J108" s="8">
        <v>46234</v>
      </c>
      <c r="K108" s="8" t="s">
        <v>8</v>
      </c>
      <c r="L108" s="8" t="s">
        <v>13</v>
      </c>
      <c r="M108" s="9" t="s">
        <v>3</v>
      </c>
      <c r="N108" s="9" t="s">
        <v>445</v>
      </c>
    </row>
    <row r="109" spans="1:14" ht="75" hidden="1">
      <c r="A109" s="15"/>
      <c r="B109" s="28">
        <v>2531886.8199999998</v>
      </c>
      <c r="C109" s="6" t="s">
        <v>282</v>
      </c>
      <c r="D109" s="10">
        <v>2035</v>
      </c>
      <c r="E109" s="11">
        <v>46209</v>
      </c>
      <c r="F109" s="10" t="s">
        <v>38</v>
      </c>
      <c r="G109" s="10" t="s">
        <v>281</v>
      </c>
      <c r="H109" s="11">
        <v>46242</v>
      </c>
      <c r="I109" s="11"/>
      <c r="J109" s="8">
        <v>46248</v>
      </c>
      <c r="K109" s="8" t="s">
        <v>8</v>
      </c>
      <c r="L109" s="8" t="s">
        <v>13</v>
      </c>
      <c r="M109" s="9" t="s">
        <v>3</v>
      </c>
      <c r="N109" s="9" t="s">
        <v>446</v>
      </c>
    </row>
    <row r="110" spans="1:14" ht="30" hidden="1">
      <c r="A110" s="15"/>
      <c r="B110" s="28">
        <v>268366.48</v>
      </c>
      <c r="C110" s="6" t="s">
        <v>277</v>
      </c>
      <c r="D110" s="10">
        <v>2036</v>
      </c>
      <c r="E110" s="11">
        <v>46209</v>
      </c>
      <c r="F110" s="10" t="s">
        <v>64</v>
      </c>
      <c r="G110" s="10" t="s">
        <v>275</v>
      </c>
      <c r="H110" s="11">
        <v>46224</v>
      </c>
      <c r="I110" s="11"/>
      <c r="J110" s="8">
        <v>46223</v>
      </c>
      <c r="K110" s="8" t="s">
        <v>7</v>
      </c>
      <c r="L110" s="8"/>
      <c r="M110" s="9" t="s">
        <v>3</v>
      </c>
      <c r="N110" s="9" t="s">
        <v>307</v>
      </c>
    </row>
    <row r="111" spans="1:14" hidden="1">
      <c r="A111" s="15"/>
      <c r="B111" s="28">
        <v>607639.80000000005</v>
      </c>
      <c r="C111" s="6" t="s">
        <v>278</v>
      </c>
      <c r="D111" s="10">
        <v>2037</v>
      </c>
      <c r="E111" s="11">
        <v>46206</v>
      </c>
      <c r="F111" s="10" t="s">
        <v>250</v>
      </c>
      <c r="G111" s="10" t="s">
        <v>184</v>
      </c>
      <c r="H111" s="11">
        <v>46211</v>
      </c>
      <c r="I111" s="11"/>
      <c r="J111" s="8">
        <v>46211</v>
      </c>
      <c r="K111" s="8" t="s">
        <v>7</v>
      </c>
      <c r="L111" s="8"/>
      <c r="M111" s="9" t="s">
        <v>3</v>
      </c>
      <c r="N111" s="9" t="s">
        <v>51</v>
      </c>
    </row>
    <row r="112" spans="1:14" hidden="1">
      <c r="A112" s="15"/>
      <c r="B112" s="28">
        <v>5151.2181</v>
      </c>
      <c r="C112" s="6" t="s">
        <v>279</v>
      </c>
      <c r="D112" s="10">
        <v>2038</v>
      </c>
      <c r="E112" s="11">
        <v>46209</v>
      </c>
      <c r="F112" s="10" t="s">
        <v>276</v>
      </c>
      <c r="G112" s="10" t="s">
        <v>273</v>
      </c>
      <c r="H112" s="11">
        <v>46224</v>
      </c>
      <c r="I112" s="11"/>
      <c r="J112" s="8">
        <v>46219</v>
      </c>
      <c r="K112" s="8" t="s">
        <v>7</v>
      </c>
      <c r="L112" s="8"/>
      <c r="M112" s="9" t="s">
        <v>3</v>
      </c>
      <c r="N112" s="9" t="s">
        <v>296</v>
      </c>
    </row>
    <row r="113" spans="1:14" hidden="1">
      <c r="A113" s="15"/>
      <c r="B113" s="28">
        <v>6.24</v>
      </c>
      <c r="C113" s="6" t="s">
        <v>286</v>
      </c>
      <c r="D113" s="10">
        <v>2039</v>
      </c>
      <c r="E113" s="11">
        <v>46211</v>
      </c>
      <c r="F113" s="10" t="s">
        <v>153</v>
      </c>
      <c r="G113" s="10" t="s">
        <v>188</v>
      </c>
      <c r="H113" s="11">
        <v>46218</v>
      </c>
      <c r="I113" s="11"/>
      <c r="J113" s="8">
        <v>46218</v>
      </c>
      <c r="K113" s="8" t="s">
        <v>7</v>
      </c>
      <c r="L113" s="8"/>
      <c r="M113" s="9" t="s">
        <v>3</v>
      </c>
      <c r="N113" s="9" t="s">
        <v>305</v>
      </c>
    </row>
    <row r="114" spans="1:14" ht="90" hidden="1">
      <c r="A114" s="15"/>
      <c r="B114" s="28">
        <v>3389222.6280000005</v>
      </c>
      <c r="C114" s="6" t="s">
        <v>285</v>
      </c>
      <c r="D114" s="10">
        <v>2040</v>
      </c>
      <c r="E114" s="11">
        <v>46213</v>
      </c>
      <c r="F114" s="10" t="s">
        <v>38</v>
      </c>
      <c r="G114" s="10" t="s">
        <v>284</v>
      </c>
      <c r="H114" s="11">
        <v>46244</v>
      </c>
      <c r="I114" s="11"/>
      <c r="J114" s="8">
        <v>46245</v>
      </c>
      <c r="K114" s="8" t="s">
        <v>7</v>
      </c>
      <c r="L114" s="8"/>
      <c r="M114" s="9" t="s">
        <v>3</v>
      </c>
      <c r="N114" s="9" t="s">
        <v>429</v>
      </c>
    </row>
    <row r="115" spans="1:14" ht="30" hidden="1">
      <c r="A115" s="15"/>
      <c r="B115" s="28">
        <v>5900463.8199999994</v>
      </c>
      <c r="C115" s="6" t="s">
        <v>287</v>
      </c>
      <c r="D115" s="10">
        <v>2041</v>
      </c>
      <c r="E115" s="11">
        <v>46217</v>
      </c>
      <c r="F115" s="10" t="s">
        <v>250</v>
      </c>
      <c r="G115" s="10" t="s">
        <v>284</v>
      </c>
      <c r="H115" s="11">
        <v>46231</v>
      </c>
      <c r="I115" s="11"/>
      <c r="J115" s="8">
        <v>46226</v>
      </c>
      <c r="K115" s="8" t="s">
        <v>7</v>
      </c>
      <c r="L115" s="8"/>
      <c r="M115" s="9" t="s">
        <v>3</v>
      </c>
      <c r="N115" s="9" t="s">
        <v>359</v>
      </c>
    </row>
    <row r="116" spans="1:14" ht="45" hidden="1">
      <c r="A116" s="15"/>
      <c r="B116" s="28">
        <v>58.152000000000001</v>
      </c>
      <c r="C116" s="6" t="s">
        <v>289</v>
      </c>
      <c r="D116" s="10">
        <v>2042</v>
      </c>
      <c r="E116" s="11">
        <v>46217</v>
      </c>
      <c r="F116" s="10" t="s">
        <v>153</v>
      </c>
      <c r="G116" s="10" t="s">
        <v>288</v>
      </c>
      <c r="H116" s="11">
        <v>46224</v>
      </c>
      <c r="I116" s="11"/>
      <c r="J116" s="8">
        <v>46244</v>
      </c>
      <c r="K116" s="8" t="s">
        <v>8</v>
      </c>
      <c r="L116" s="8" t="s">
        <v>13</v>
      </c>
      <c r="M116" s="9" t="s">
        <v>3</v>
      </c>
      <c r="N116" s="9" t="s">
        <v>427</v>
      </c>
    </row>
    <row r="117" spans="1:14" ht="45">
      <c r="A117" s="15"/>
      <c r="B117" s="28">
        <v>147.24199999999999</v>
      </c>
      <c r="C117" s="6" t="s">
        <v>396</v>
      </c>
      <c r="D117" s="10">
        <v>2043</v>
      </c>
      <c r="E117" s="11">
        <v>46217</v>
      </c>
      <c r="F117" s="10" t="s">
        <v>153</v>
      </c>
      <c r="G117" s="10" t="s">
        <v>188</v>
      </c>
      <c r="H117" s="11">
        <v>46224</v>
      </c>
      <c r="I117" s="11">
        <v>46316</v>
      </c>
      <c r="J117" s="8">
        <v>46220</v>
      </c>
      <c r="K117" s="8" t="s">
        <v>7</v>
      </c>
      <c r="L117" s="8"/>
      <c r="M117" s="9" t="s">
        <v>306</v>
      </c>
      <c r="N117" s="9" t="s">
        <v>360</v>
      </c>
    </row>
    <row r="118" spans="1:14" ht="30" hidden="1">
      <c r="A118" s="15"/>
      <c r="B118" s="28">
        <v>1569823.2456</v>
      </c>
      <c r="C118" s="6" t="s">
        <v>295</v>
      </c>
      <c r="D118" s="10">
        <v>2044</v>
      </c>
      <c r="E118" s="11">
        <v>46218</v>
      </c>
      <c r="F118" s="10" t="s">
        <v>146</v>
      </c>
      <c r="G118" s="10" t="s">
        <v>188</v>
      </c>
      <c r="H118" s="11">
        <v>46225</v>
      </c>
      <c r="I118" s="11"/>
      <c r="J118" s="8">
        <v>46231</v>
      </c>
      <c r="K118" s="8" t="s">
        <v>8</v>
      </c>
      <c r="L118" s="8" t="s">
        <v>13</v>
      </c>
      <c r="M118" s="9" t="s">
        <v>3</v>
      </c>
      <c r="N118" s="9" t="s">
        <v>373</v>
      </c>
    </row>
    <row r="119" spans="1:14" ht="60" hidden="1">
      <c r="B119" s="28">
        <v>324522</v>
      </c>
      <c r="C119" s="6" t="s">
        <v>397</v>
      </c>
      <c r="D119" s="10">
        <v>2045</v>
      </c>
      <c r="E119" s="11">
        <v>46219</v>
      </c>
      <c r="F119" s="10" t="s">
        <v>250</v>
      </c>
      <c r="G119" s="10" t="s">
        <v>192</v>
      </c>
      <c r="H119" s="11">
        <v>46233</v>
      </c>
      <c r="I119" s="11"/>
      <c r="J119" s="8">
        <v>46223</v>
      </c>
      <c r="K119" s="8" t="s">
        <v>7</v>
      </c>
      <c r="L119" s="8"/>
      <c r="M119" s="9" t="s">
        <v>3</v>
      </c>
      <c r="N119" s="9" t="s">
        <v>406</v>
      </c>
    </row>
    <row r="120" spans="1:14" ht="30" hidden="1">
      <c r="B120" s="28">
        <v>1110</v>
      </c>
      <c r="C120" s="6" t="s">
        <v>297</v>
      </c>
      <c r="D120" s="10">
        <v>2046</v>
      </c>
      <c r="E120" s="11">
        <v>46219</v>
      </c>
      <c r="F120" s="10" t="s">
        <v>164</v>
      </c>
      <c r="G120" s="10" t="s">
        <v>239</v>
      </c>
      <c r="H120" s="11">
        <v>46225</v>
      </c>
      <c r="I120" s="11"/>
      <c r="J120" s="8">
        <v>46223</v>
      </c>
      <c r="K120" s="8" t="s">
        <v>7</v>
      </c>
      <c r="L120" s="8"/>
      <c r="M120" s="9" t="s">
        <v>3</v>
      </c>
      <c r="N120" s="9" t="s">
        <v>308</v>
      </c>
    </row>
    <row r="121" spans="1:14" hidden="1">
      <c r="B121" s="28">
        <v>2190</v>
      </c>
      <c r="C121" s="6" t="s">
        <v>298</v>
      </c>
      <c r="D121" s="10">
        <v>2047</v>
      </c>
      <c r="E121" s="11">
        <v>46219</v>
      </c>
      <c r="F121" s="10" t="s">
        <v>146</v>
      </c>
      <c r="G121" s="10" t="s">
        <v>239</v>
      </c>
      <c r="H121" s="11">
        <v>46222</v>
      </c>
      <c r="I121" s="11"/>
      <c r="J121" s="8"/>
      <c r="K121" s="8"/>
      <c r="L121" s="8"/>
      <c r="M121" s="9" t="s">
        <v>302</v>
      </c>
      <c r="N121" s="9"/>
    </row>
    <row r="122" spans="1:14" ht="30" hidden="1">
      <c r="B122" s="28">
        <v>1791203.2925</v>
      </c>
      <c r="C122" s="6" t="s">
        <v>299</v>
      </c>
      <c r="D122" s="10">
        <v>2048</v>
      </c>
      <c r="E122" s="11">
        <v>46219</v>
      </c>
      <c r="F122" s="10" t="s">
        <v>250</v>
      </c>
      <c r="G122" s="10" t="s">
        <v>239</v>
      </c>
      <c r="H122" s="11">
        <v>46222</v>
      </c>
      <c r="I122" s="11"/>
      <c r="J122" s="8">
        <v>46223</v>
      </c>
      <c r="K122" s="8" t="s">
        <v>8</v>
      </c>
      <c r="L122" s="8" t="s">
        <v>13</v>
      </c>
      <c r="M122" s="9" t="s">
        <v>3</v>
      </c>
      <c r="N122" s="9" t="s">
        <v>309</v>
      </c>
    </row>
    <row r="123" spans="1:14" hidden="1">
      <c r="B123" s="28">
        <v>149492</v>
      </c>
      <c r="C123" s="6" t="s">
        <v>301</v>
      </c>
      <c r="D123" s="10">
        <v>2049</v>
      </c>
      <c r="E123" s="11">
        <v>46219</v>
      </c>
      <c r="F123" s="10" t="s">
        <v>146</v>
      </c>
      <c r="G123" s="10" t="s">
        <v>423</v>
      </c>
      <c r="H123" s="11">
        <v>46224</v>
      </c>
      <c r="I123" s="11"/>
      <c r="J123" s="8">
        <v>46224</v>
      </c>
      <c r="K123" s="8" t="s">
        <v>7</v>
      </c>
      <c r="L123" s="8"/>
      <c r="M123" s="9" t="s">
        <v>3</v>
      </c>
      <c r="N123" s="9" t="s">
        <v>354</v>
      </c>
    </row>
    <row r="124" spans="1:14">
      <c r="B124" s="28">
        <v>3820095.5020000003</v>
      </c>
      <c r="C124" s="6" t="s">
        <v>369</v>
      </c>
      <c r="D124" s="10">
        <v>2050</v>
      </c>
      <c r="E124" s="11">
        <v>46230</v>
      </c>
      <c r="F124" s="10" t="s">
        <v>38</v>
      </c>
      <c r="G124" s="10" t="s">
        <v>334</v>
      </c>
      <c r="H124" s="11">
        <v>46261</v>
      </c>
      <c r="I124" s="11">
        <v>46286</v>
      </c>
      <c r="J124" s="8"/>
      <c r="K124" s="8"/>
      <c r="L124" s="8"/>
      <c r="M124" s="9" t="s">
        <v>2</v>
      </c>
      <c r="N124" s="9" t="s">
        <v>405</v>
      </c>
    </row>
    <row r="125" spans="1:14" hidden="1">
      <c r="B125" s="28">
        <v>623.91999999999996</v>
      </c>
      <c r="C125" s="6" t="s">
        <v>398</v>
      </c>
      <c r="D125" s="10">
        <v>2051</v>
      </c>
      <c r="E125" s="11">
        <v>46226</v>
      </c>
      <c r="F125" s="10" t="s">
        <v>164</v>
      </c>
      <c r="G125" s="10" t="s">
        <v>239</v>
      </c>
      <c r="H125" s="11">
        <v>46232</v>
      </c>
      <c r="I125" s="11"/>
      <c r="J125" s="8">
        <v>46228</v>
      </c>
      <c r="K125" s="8" t="s">
        <v>7</v>
      </c>
      <c r="L125" s="8"/>
      <c r="M125" s="9" t="s">
        <v>3</v>
      </c>
      <c r="N125" s="9" t="s">
        <v>366</v>
      </c>
    </row>
    <row r="126" spans="1:14" ht="30">
      <c r="B126" s="28">
        <v>1371.0555129276315</v>
      </c>
      <c r="C126" s="6" t="s">
        <v>408</v>
      </c>
      <c r="D126" s="10">
        <v>2052</v>
      </c>
      <c r="E126" s="11">
        <v>46227</v>
      </c>
      <c r="F126" s="10" t="s">
        <v>250</v>
      </c>
      <c r="G126" s="10" t="s">
        <v>192</v>
      </c>
      <c r="H126" s="11">
        <v>46247</v>
      </c>
      <c r="I126" s="11">
        <v>46278</v>
      </c>
      <c r="J126" s="8">
        <v>46240</v>
      </c>
      <c r="K126" s="8" t="s">
        <v>7</v>
      </c>
      <c r="L126" s="8"/>
      <c r="M126" s="9" t="s">
        <v>306</v>
      </c>
      <c r="N126" s="9" t="s">
        <v>447</v>
      </c>
    </row>
    <row r="127" spans="1:14" ht="30" hidden="1">
      <c r="A127" t="s">
        <v>290</v>
      </c>
      <c r="B127" s="28">
        <v>457637.38</v>
      </c>
      <c r="C127" s="6" t="s">
        <v>400</v>
      </c>
      <c r="D127" s="10">
        <v>2053</v>
      </c>
      <c r="E127" s="11">
        <v>46232</v>
      </c>
      <c r="F127" s="31" t="s">
        <v>250</v>
      </c>
      <c r="G127" s="10" t="s">
        <v>281</v>
      </c>
      <c r="H127" s="11">
        <v>46239</v>
      </c>
      <c r="I127" s="11"/>
      <c r="J127" s="8">
        <v>46237</v>
      </c>
      <c r="K127" s="8" t="s">
        <v>7</v>
      </c>
      <c r="L127" s="8"/>
      <c r="M127" s="9" t="s">
        <v>3</v>
      </c>
      <c r="N127" s="9" t="s">
        <v>393</v>
      </c>
    </row>
    <row r="128" spans="1:14" hidden="1">
      <c r="A128" s="16">
        <v>45530</v>
      </c>
      <c r="B128" s="28">
        <v>363578.5</v>
      </c>
      <c r="C128" s="6" t="s">
        <v>401</v>
      </c>
      <c r="D128" s="10">
        <v>2054</v>
      </c>
      <c r="E128" s="11">
        <v>46233</v>
      </c>
      <c r="F128" s="10" t="s">
        <v>250</v>
      </c>
      <c r="G128" s="10" t="s">
        <v>281</v>
      </c>
      <c r="H128" s="11">
        <v>46240</v>
      </c>
      <c r="I128" s="11"/>
      <c r="J128" s="8">
        <v>46237</v>
      </c>
      <c r="K128" s="8" t="s">
        <v>7</v>
      </c>
      <c r="L128" s="8"/>
      <c r="M128" s="9" t="s">
        <v>3</v>
      </c>
      <c r="N128" s="9" t="s">
        <v>394</v>
      </c>
    </row>
    <row r="129" spans="2:14" hidden="1">
      <c r="B129" s="28">
        <v>472963.8</v>
      </c>
      <c r="C129" s="6" t="s">
        <v>390</v>
      </c>
      <c r="D129" s="10">
        <v>2055</v>
      </c>
      <c r="E129" s="11">
        <v>46234</v>
      </c>
      <c r="F129" s="10" t="s">
        <v>40</v>
      </c>
      <c r="G129" s="10" t="s">
        <v>192</v>
      </c>
      <c r="H129" s="11">
        <v>46244</v>
      </c>
      <c r="I129" s="11"/>
      <c r="J129" s="8">
        <v>46244</v>
      </c>
      <c r="K129" s="8" t="s">
        <v>7</v>
      </c>
      <c r="L129" s="8"/>
      <c r="M129" s="9" t="s">
        <v>3</v>
      </c>
      <c r="N129" s="9" t="s">
        <v>428</v>
      </c>
    </row>
    <row r="130" spans="2:14" hidden="1">
      <c r="B130" s="28">
        <v>75.11</v>
      </c>
      <c r="C130" s="6" t="s">
        <v>407</v>
      </c>
      <c r="D130" s="10">
        <v>2056</v>
      </c>
      <c r="E130" s="11">
        <v>46234</v>
      </c>
      <c r="F130" s="10" t="s">
        <v>59</v>
      </c>
      <c r="G130" s="10" t="s">
        <v>284</v>
      </c>
      <c r="H130" s="11">
        <v>46239</v>
      </c>
      <c r="I130" s="11"/>
      <c r="J130" s="8">
        <v>46240</v>
      </c>
      <c r="K130" s="8" t="s">
        <v>7</v>
      </c>
      <c r="L130" s="8"/>
      <c r="M130" s="9" t="s">
        <v>3</v>
      </c>
      <c r="N130" s="9" t="s">
        <v>404</v>
      </c>
    </row>
    <row r="131" spans="2:14">
      <c r="B131" s="28">
        <v>2774109.1980638811</v>
      </c>
      <c r="C131" s="6" t="s">
        <v>431</v>
      </c>
      <c r="D131" s="10">
        <v>2057</v>
      </c>
      <c r="E131" s="11">
        <v>46245</v>
      </c>
      <c r="F131" s="10" t="s">
        <v>38</v>
      </c>
      <c r="G131" s="10" t="s">
        <v>332</v>
      </c>
      <c r="H131" s="11">
        <v>46276</v>
      </c>
      <c r="I131" s="11">
        <v>46306</v>
      </c>
      <c r="J131" s="8"/>
      <c r="K131" s="8"/>
      <c r="L131" s="8"/>
      <c r="M131" s="9" t="s">
        <v>2</v>
      </c>
      <c r="N131" s="9"/>
    </row>
    <row r="132" spans="2:14">
      <c r="B132" s="28">
        <v>2641.5</v>
      </c>
      <c r="C132" s="6" t="s">
        <v>391</v>
      </c>
      <c r="D132" s="10">
        <v>2058</v>
      </c>
      <c r="E132" s="11">
        <v>46237</v>
      </c>
      <c r="F132" s="10" t="s">
        <v>69</v>
      </c>
      <c r="G132" s="10" t="s">
        <v>334</v>
      </c>
      <c r="H132" s="11">
        <v>46262</v>
      </c>
      <c r="I132" s="11">
        <v>46237</v>
      </c>
      <c r="J132" s="8"/>
      <c r="K132" s="8"/>
      <c r="L132" s="8"/>
      <c r="M132" s="9" t="s">
        <v>2</v>
      </c>
      <c r="N132" s="9" t="s">
        <v>448</v>
      </c>
    </row>
    <row r="133" spans="2:14" ht="45">
      <c r="B133" s="28">
        <v>6671.4</v>
      </c>
      <c r="C133" s="6" t="s">
        <v>399</v>
      </c>
      <c r="D133" s="10">
        <v>2059</v>
      </c>
      <c r="E133" s="11">
        <v>46238</v>
      </c>
      <c r="F133" s="10" t="s">
        <v>87</v>
      </c>
      <c r="G133" s="10" t="s">
        <v>403</v>
      </c>
      <c r="H133" s="11">
        <v>46273</v>
      </c>
      <c r="I133" s="11">
        <v>46238</v>
      </c>
      <c r="J133" s="8"/>
      <c r="K133" s="8"/>
      <c r="L133" s="8"/>
      <c r="M133" s="9" t="s">
        <v>2</v>
      </c>
      <c r="N133" s="9" t="s">
        <v>459</v>
      </c>
    </row>
    <row r="134" spans="2:14">
      <c r="B134" s="28">
        <v>1745177.73</v>
      </c>
      <c r="C134" s="6" t="s">
        <v>392</v>
      </c>
      <c r="D134" s="10">
        <v>2060</v>
      </c>
      <c r="E134" s="11">
        <v>46238</v>
      </c>
      <c r="F134" s="10" t="s">
        <v>38</v>
      </c>
      <c r="G134" s="10" t="s">
        <v>376</v>
      </c>
      <c r="H134" s="11">
        <v>46269</v>
      </c>
      <c r="I134" s="11">
        <v>46299</v>
      </c>
      <c r="J134" s="8"/>
      <c r="K134" s="8"/>
      <c r="L134" s="8"/>
      <c r="M134" s="9" t="s">
        <v>2</v>
      </c>
      <c r="N134" s="9" t="s">
        <v>430</v>
      </c>
    </row>
    <row r="135" spans="2:14">
      <c r="B135" s="28">
        <v>602.17600000000004</v>
      </c>
      <c r="C135" s="6" t="s">
        <v>422</v>
      </c>
      <c r="D135" s="10">
        <v>2061</v>
      </c>
      <c r="E135" s="11">
        <v>46240</v>
      </c>
      <c r="F135" s="10" t="s">
        <v>101</v>
      </c>
      <c r="G135" s="10" t="s">
        <v>424</v>
      </c>
      <c r="H135" s="11">
        <v>46252</v>
      </c>
      <c r="I135" s="11">
        <v>46268</v>
      </c>
      <c r="J135" s="8"/>
      <c r="K135" s="8"/>
      <c r="L135" s="8"/>
      <c r="M135" s="9" t="s">
        <v>2</v>
      </c>
      <c r="N135" s="9" t="s">
        <v>449</v>
      </c>
    </row>
    <row r="136" spans="2:14" hidden="1">
      <c r="B136" s="28">
        <v>976899</v>
      </c>
      <c r="C136" s="6"/>
      <c r="D136" s="10">
        <v>2062</v>
      </c>
      <c r="E136" s="11">
        <v>46240</v>
      </c>
      <c r="F136" s="10" t="s">
        <v>250</v>
      </c>
      <c r="G136" s="10" t="s">
        <v>425</v>
      </c>
      <c r="H136" s="11">
        <v>46247</v>
      </c>
      <c r="I136" s="11"/>
      <c r="J136" s="8">
        <v>46245</v>
      </c>
      <c r="K136" s="8" t="s">
        <v>7</v>
      </c>
      <c r="L136" s="8"/>
      <c r="M136" s="9" t="s">
        <v>3</v>
      </c>
      <c r="N136" s="9" t="s">
        <v>436</v>
      </c>
    </row>
    <row r="137" spans="2:14" hidden="1">
      <c r="B137" s="28">
        <v>299208</v>
      </c>
      <c r="C137" s="6" t="s">
        <v>426</v>
      </c>
      <c r="D137" s="10">
        <v>2063</v>
      </c>
      <c r="E137" s="11">
        <v>46241</v>
      </c>
      <c r="F137" s="10" t="s">
        <v>146</v>
      </c>
      <c r="G137" s="10" t="s">
        <v>423</v>
      </c>
      <c r="H137" s="11">
        <v>46251</v>
      </c>
      <c r="I137" s="11">
        <v>46272</v>
      </c>
      <c r="J137" s="8">
        <v>46252</v>
      </c>
      <c r="K137" s="8" t="s">
        <v>7</v>
      </c>
      <c r="L137" s="8"/>
      <c r="M137" s="9" t="s">
        <v>3</v>
      </c>
      <c r="N137" s="9" t="s">
        <v>450</v>
      </c>
    </row>
    <row r="138" spans="2:14">
      <c r="B138" s="28">
        <v>526.38999999999987</v>
      </c>
      <c r="C138" s="6" t="s">
        <v>435</v>
      </c>
      <c r="D138" s="10">
        <v>2064</v>
      </c>
      <c r="E138" s="11">
        <v>46246</v>
      </c>
      <c r="F138" s="10" t="s">
        <v>108</v>
      </c>
      <c r="G138" s="10" t="s">
        <v>192</v>
      </c>
      <c r="H138" s="11">
        <v>46266</v>
      </c>
      <c r="I138" s="11">
        <v>46296</v>
      </c>
      <c r="J138" s="8"/>
      <c r="K138" s="8"/>
      <c r="L138" s="8"/>
      <c r="M138" s="9" t="s">
        <v>2</v>
      </c>
      <c r="N138" s="9"/>
    </row>
    <row r="139" spans="2:14">
      <c r="B139" s="28">
        <v>183246</v>
      </c>
      <c r="C139" s="6" t="s">
        <v>432</v>
      </c>
      <c r="D139" s="10">
        <v>2065</v>
      </c>
      <c r="E139" s="11">
        <v>46244</v>
      </c>
      <c r="F139" s="10" t="s">
        <v>250</v>
      </c>
      <c r="G139" s="10" t="s">
        <v>188</v>
      </c>
      <c r="H139" s="11">
        <v>46251</v>
      </c>
      <c r="I139" s="11">
        <v>46282</v>
      </c>
      <c r="J139" s="8"/>
      <c r="K139" s="8"/>
      <c r="L139" s="8"/>
      <c r="M139" s="9" t="s">
        <v>2</v>
      </c>
      <c r="N139" s="9" t="s">
        <v>458</v>
      </c>
    </row>
    <row r="140" spans="2:14">
      <c r="B140" s="28">
        <v>996326.64</v>
      </c>
      <c r="C140" s="6" t="s">
        <v>433</v>
      </c>
      <c r="D140" s="10">
        <v>2066</v>
      </c>
      <c r="E140" s="11">
        <v>46245</v>
      </c>
      <c r="F140" s="10" t="s">
        <v>38</v>
      </c>
      <c r="G140" s="10" t="s">
        <v>410</v>
      </c>
      <c r="H140" s="11">
        <v>46270</v>
      </c>
      <c r="I140" s="11">
        <v>46300</v>
      </c>
      <c r="J140" s="8"/>
      <c r="K140" s="8"/>
      <c r="L140" s="8"/>
      <c r="M140" s="9" t="s">
        <v>2</v>
      </c>
      <c r="N140" s="9"/>
    </row>
    <row r="141" spans="2:14">
      <c r="B141" s="28">
        <v>12671.68</v>
      </c>
      <c r="C141" s="6" t="s">
        <v>452</v>
      </c>
      <c r="D141" s="10">
        <v>2067</v>
      </c>
      <c r="E141" s="11">
        <v>46246</v>
      </c>
      <c r="F141" s="10" t="s">
        <v>434</v>
      </c>
      <c r="G141" s="10" t="s">
        <v>410</v>
      </c>
      <c r="H141" s="11">
        <v>46271</v>
      </c>
      <c r="I141" s="11">
        <v>46246</v>
      </c>
      <c r="J141" s="8"/>
      <c r="K141" s="8"/>
      <c r="L141" s="8"/>
      <c r="M141" s="9" t="s">
        <v>2</v>
      </c>
      <c r="N141" s="9" t="s">
        <v>460</v>
      </c>
    </row>
    <row r="142" spans="2:14">
      <c r="B142" s="28">
        <v>4970272.9499999993</v>
      </c>
      <c r="C142" s="6" t="s">
        <v>453</v>
      </c>
      <c r="D142" s="10">
        <v>2068</v>
      </c>
      <c r="E142" s="11">
        <v>46248</v>
      </c>
      <c r="F142" s="10" t="s">
        <v>250</v>
      </c>
      <c r="G142" s="10" t="s">
        <v>451</v>
      </c>
      <c r="H142" s="11">
        <v>46268</v>
      </c>
      <c r="I142" s="11">
        <v>46298</v>
      </c>
      <c r="J142" s="8"/>
      <c r="K142" s="8"/>
      <c r="L142" s="8"/>
      <c r="M142" s="9" t="s">
        <v>2</v>
      </c>
      <c r="N142" s="9" t="s">
        <v>382</v>
      </c>
    </row>
    <row r="153" spans="2:5">
      <c r="B153" s="16"/>
    </row>
    <row r="156" spans="2:5">
      <c r="D156" s="32" t="s">
        <v>291</v>
      </c>
      <c r="E156" s="32"/>
    </row>
    <row r="157" spans="2:5">
      <c r="D157" s="32"/>
      <c r="E157" s="32"/>
    </row>
    <row r="158" spans="2:5">
      <c r="D158" s="33" t="s">
        <v>292</v>
      </c>
      <c r="E158" s="33"/>
    </row>
    <row r="159" spans="2:5">
      <c r="D159" s="33"/>
      <c r="E159" s="33"/>
    </row>
    <row r="160" spans="2:5">
      <c r="D160" s="34" t="s">
        <v>293</v>
      </c>
      <c r="E160" s="34"/>
    </row>
    <row r="161" spans="4:5">
      <c r="D161" s="34"/>
      <c r="E161" s="34"/>
    </row>
    <row r="162" spans="4:5">
      <c r="D162" s="35" t="s">
        <v>294</v>
      </c>
      <c r="E162" s="35"/>
    </row>
    <row r="163" spans="4:5">
      <c r="D163" s="35"/>
      <c r="E163" s="35"/>
    </row>
  </sheetData>
  <mergeCells count="4">
    <mergeCell ref="D156:E157"/>
    <mergeCell ref="D158:E159"/>
    <mergeCell ref="D160:E161"/>
    <mergeCell ref="D162:E163"/>
  </mergeCells>
  <phoneticPr fontId="5" type="noConversion"/>
  <conditionalFormatting sqref="J2:J142">
    <cfRule type="cellIs" dxfId="148" priority="1" operator="equal">
      <formula>H2</formula>
    </cfRule>
    <cfRule type="cellIs" dxfId="147" priority="2" operator="lessThan">
      <formula>H2</formula>
    </cfRule>
    <cfRule type="cellIs" dxfId="146" priority="3" operator="greaterThan">
      <formula>H2</formula>
    </cfRule>
  </conditionalFormatting>
  <conditionalFormatting sqref="K2:L142">
    <cfRule type="cellIs" dxfId="145" priority="8" operator="equal">
      <formula>"ATRASADA"</formula>
    </cfRule>
    <cfRule type="cellIs" dxfId="144" priority="9" operator="equal">
      <formula>"CUMPLIDA"</formula>
    </cfRule>
    <cfRule type="cellIs" dxfId="143" priority="10" operator="greaterThan">
      <formula>J2</formula>
    </cfRule>
    <cfRule type="cellIs" dxfId="142" priority="11" operator="greaterThan">
      <formula>$L$2</formula>
    </cfRule>
  </conditionalFormatting>
  <conditionalFormatting sqref="M2:M142">
    <cfRule type="cellIs" dxfId="141" priority="4" operator="equal">
      <formula>"PARCIAL"</formula>
    </cfRule>
    <cfRule type="cellIs" dxfId="140" priority="5" operator="equal">
      <formula>"ANULADA"</formula>
    </cfRule>
    <cfRule type="cellIs" dxfId="139" priority="6" operator="equal">
      <formula>"ENTREGADO"</formula>
    </cfRule>
    <cfRule type="cellIs" dxfId="138" priority="7" operator="equal">
      <formula>"PENDIENTE"</formula>
    </cfRule>
  </conditionalFormatting>
  <conditionalFormatting sqref="E2:I142 C2:C142">
    <cfRule type="expression" dxfId="137" priority="106">
      <formula>AND($M2&lt;&gt;"ENTREGADO", $H2-TODAY()&lt;=7, $H2-TODAY()&gt;=0)</formula>
    </cfRule>
  </conditionalFormatting>
  <conditionalFormatting sqref="E57:I142 C57:C142">
    <cfRule type="expression" dxfId="136" priority="107">
      <formula>AND($M57&lt;&gt;"ENTREGADO", $H57-TODAY()&lt;=15, $H57-TODAY()&gt;7)</formula>
    </cfRule>
    <cfRule type="expression" dxfId="135" priority="108">
      <formula>AND($M57&lt;&gt;"ENTREGADO",$H57&lt;TODAY())</formula>
    </cfRule>
    <cfRule type="expression" dxfId="134" priority="109">
      <formula>AND($M57&lt;&gt;"ENTREGADO", $H57-TODAY()&gt;15)</formula>
    </cfRule>
  </conditionalFormatting>
  <dataValidations count="4">
    <dataValidation type="list" allowBlank="1" showInputMessage="1" showErrorMessage="1" sqref="L2:L33 L43:L44 L47 L49 L51:L52 L54 L56:L58 L60:L142" xr:uid="{02DE17FF-653B-4A3A-8A58-81C5F6159C77}">
      <formula1>"INTERNA,EXTERNA"</formula1>
    </dataValidation>
    <dataValidation type="list" allowBlank="1" showInputMessage="1" showErrorMessage="1" sqref="L34:L42 L45:L46 L48 L50 L53 L55 L59" xr:uid="{E63A0407-9722-43C8-836E-35CFC04D7F80}">
      <formula1>#REF!</formula1>
    </dataValidation>
    <dataValidation type="list" allowBlank="1" showInputMessage="1" showErrorMessage="1" sqref="K2:K122 K124:K142" xr:uid="{7EAF2D77-E0F0-4F25-AC49-C6CAB6B8859E}">
      <formula1>"CUMPLIDA,ATRASADA"</formula1>
    </dataValidation>
    <dataValidation type="list" allowBlank="1" showInputMessage="1" showErrorMessage="1" sqref="M2:M142" xr:uid="{B4A5E824-773C-4952-9A73-09A62C9071EF}">
      <formula1>"ENTREGADO,PENDIENTE,PARCIAL,ANULADA"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ctualizarSeguimientoOC_Inteligente">
                <anchor moveWithCells="1" sizeWithCells="1">
                  <from>
                    <xdr:col>2</xdr:col>
                    <xdr:colOff>1323975</xdr:colOff>
                    <xdr:row>146</xdr:row>
                    <xdr:rowOff>133350</xdr:rowOff>
                  </from>
                  <to>
                    <xdr:col>2</xdr:col>
                    <xdr:colOff>2800350</xdr:colOff>
                    <xdr:row>149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A32EC-0D15-4608-A221-64135CB345B2}">
  <sheetPr codeName="Hoja1"/>
  <dimension ref="C1:L28"/>
  <sheetViews>
    <sheetView showGridLines="0" zoomScale="85" zoomScaleNormal="85" workbookViewId="0">
      <selection activeCell="L13" sqref="L13"/>
    </sheetView>
  </sheetViews>
  <sheetFormatPr baseColWidth="10" defaultRowHeight="15"/>
  <cols>
    <col min="3" max="3" width="18.85546875" bestFit="1" customWidth="1"/>
    <col min="4" max="4" width="40.5703125" style="26" bestFit="1" customWidth="1"/>
    <col min="5" max="10" width="25" style="26" customWidth="1"/>
    <col min="11" max="11" width="11.42578125" style="26"/>
    <col min="12" max="12" width="64.85546875" style="26" bestFit="1" customWidth="1"/>
  </cols>
  <sheetData>
    <row r="1" spans="3:12">
      <c r="C1" s="24" t="s">
        <v>311</v>
      </c>
      <c r="D1" s="24" t="s">
        <v>310</v>
      </c>
      <c r="E1" s="24" t="s">
        <v>339</v>
      </c>
      <c r="F1" s="24" t="s">
        <v>340</v>
      </c>
      <c r="G1" s="24" t="s">
        <v>341</v>
      </c>
      <c r="H1" s="24" t="s">
        <v>367</v>
      </c>
      <c r="I1" s="24" t="s">
        <v>370</v>
      </c>
      <c r="J1" s="24" t="s">
        <v>377</v>
      </c>
      <c r="K1" s="24" t="s">
        <v>312</v>
      </c>
      <c r="L1" s="24" t="s">
        <v>313</v>
      </c>
    </row>
    <row r="2" spans="3:12">
      <c r="C2" s="25" t="s">
        <v>314</v>
      </c>
      <c r="D2" s="21" t="s">
        <v>188</v>
      </c>
      <c r="E2" s="21"/>
      <c r="F2" s="21"/>
      <c r="G2" s="21"/>
      <c r="H2" s="21"/>
      <c r="I2" s="21"/>
      <c r="J2" s="21"/>
      <c r="K2" s="21" t="s">
        <v>351</v>
      </c>
      <c r="L2" s="21" t="s">
        <v>336</v>
      </c>
    </row>
    <row r="3" spans="3:12">
      <c r="C3" s="25" t="s">
        <v>315</v>
      </c>
      <c r="D3" s="21" t="s">
        <v>239</v>
      </c>
      <c r="E3" s="21" t="s">
        <v>364</v>
      </c>
      <c r="F3" s="21" t="s">
        <v>372</v>
      </c>
      <c r="G3" s="21" t="s">
        <v>342</v>
      </c>
      <c r="H3" s="21" t="s">
        <v>352</v>
      </c>
      <c r="I3" s="21"/>
      <c r="J3" s="21"/>
      <c r="K3" s="21" t="s">
        <v>350</v>
      </c>
      <c r="L3" s="21" t="s">
        <v>336</v>
      </c>
    </row>
    <row r="4" spans="3:12">
      <c r="C4" s="25" t="s">
        <v>316</v>
      </c>
      <c r="D4" s="21" t="s">
        <v>281</v>
      </c>
      <c r="E4" s="21" t="s">
        <v>59</v>
      </c>
      <c r="F4" s="21" t="s">
        <v>38</v>
      </c>
      <c r="G4" s="21"/>
      <c r="H4" s="21"/>
      <c r="I4" s="21"/>
      <c r="J4" s="21"/>
      <c r="K4" s="21" t="s">
        <v>351</v>
      </c>
      <c r="L4" s="21" t="s">
        <v>337</v>
      </c>
    </row>
    <row r="5" spans="3:12">
      <c r="C5" s="25" t="s">
        <v>317</v>
      </c>
      <c r="D5" s="21" t="s">
        <v>273</v>
      </c>
      <c r="E5" s="21"/>
      <c r="F5" s="21"/>
      <c r="G5" s="21"/>
      <c r="H5" s="21"/>
      <c r="I5" s="21"/>
      <c r="J5" s="21"/>
      <c r="K5" s="21" t="s">
        <v>351</v>
      </c>
      <c r="L5" s="21" t="s">
        <v>336</v>
      </c>
    </row>
    <row r="6" spans="3:12" ht="30">
      <c r="C6" s="25" t="s">
        <v>318</v>
      </c>
      <c r="D6" s="21" t="s">
        <v>284</v>
      </c>
      <c r="E6" s="21" t="s">
        <v>342</v>
      </c>
      <c r="F6" s="21" t="s">
        <v>38</v>
      </c>
      <c r="G6" s="21" t="s">
        <v>381</v>
      </c>
      <c r="H6" s="21" t="s">
        <v>344</v>
      </c>
      <c r="I6" s="21" t="s">
        <v>342</v>
      </c>
      <c r="J6" s="21"/>
      <c r="K6" s="21" t="s">
        <v>351</v>
      </c>
      <c r="L6" s="30" t="s">
        <v>380</v>
      </c>
    </row>
    <row r="7" spans="3:12" ht="30">
      <c r="C7" s="25" t="s">
        <v>319</v>
      </c>
      <c r="D7" s="21" t="s">
        <v>300</v>
      </c>
      <c r="E7" s="21" t="s">
        <v>101</v>
      </c>
      <c r="F7" s="21" t="s">
        <v>342</v>
      </c>
      <c r="G7" s="21"/>
      <c r="H7" s="21"/>
      <c r="I7" s="21"/>
      <c r="J7" s="21"/>
      <c r="K7" s="21" t="s">
        <v>351</v>
      </c>
      <c r="L7" s="30" t="s">
        <v>421</v>
      </c>
    </row>
    <row r="8" spans="3:12">
      <c r="C8" s="25" t="s">
        <v>320</v>
      </c>
      <c r="D8" s="21" t="s">
        <v>335</v>
      </c>
      <c r="E8" s="21" t="s">
        <v>55</v>
      </c>
      <c r="F8" s="21" t="s">
        <v>342</v>
      </c>
      <c r="G8" s="21"/>
      <c r="H8" s="21"/>
      <c r="I8" s="21"/>
      <c r="J8" s="21"/>
      <c r="K8" s="21" t="s">
        <v>351</v>
      </c>
      <c r="L8" s="21" t="s">
        <v>338</v>
      </c>
    </row>
    <row r="9" spans="3:12">
      <c r="C9" s="25" t="s">
        <v>321</v>
      </c>
      <c r="D9" s="21" t="s">
        <v>334</v>
      </c>
      <c r="E9" s="21" t="s">
        <v>343</v>
      </c>
      <c r="F9" s="21" t="s">
        <v>38</v>
      </c>
      <c r="G9" s="21" t="s">
        <v>87</v>
      </c>
      <c r="H9" s="21"/>
      <c r="I9" s="21"/>
      <c r="J9" s="21"/>
      <c r="K9" s="21" t="s">
        <v>351</v>
      </c>
      <c r="L9" s="21" t="s">
        <v>420</v>
      </c>
    </row>
    <row r="10" spans="3:12">
      <c r="C10" s="25" t="s">
        <v>374</v>
      </c>
      <c r="D10" s="21" t="s">
        <v>332</v>
      </c>
      <c r="E10" s="21" t="s">
        <v>343</v>
      </c>
      <c r="F10" s="21" t="s">
        <v>38</v>
      </c>
      <c r="G10" s="21" t="s">
        <v>87</v>
      </c>
      <c r="H10" s="21"/>
      <c r="I10" s="21"/>
      <c r="J10" s="21"/>
      <c r="K10" s="21" t="s">
        <v>351</v>
      </c>
      <c r="L10" s="21" t="s">
        <v>420</v>
      </c>
    </row>
    <row r="11" spans="3:12">
      <c r="C11" s="25" t="s">
        <v>375</v>
      </c>
      <c r="D11" s="21" t="s">
        <v>376</v>
      </c>
      <c r="E11" s="21"/>
      <c r="F11" s="21" t="s">
        <v>38</v>
      </c>
      <c r="G11" s="21"/>
      <c r="H11" s="21"/>
      <c r="I11" s="21"/>
      <c r="J11" s="21"/>
      <c r="K11" s="21" t="s">
        <v>351</v>
      </c>
      <c r="L11" s="21" t="s">
        <v>456</v>
      </c>
    </row>
    <row r="12" spans="3:12">
      <c r="C12" s="25" t="s">
        <v>409</v>
      </c>
      <c r="D12" s="21" t="s">
        <v>410</v>
      </c>
      <c r="E12" s="21" t="s">
        <v>411</v>
      </c>
      <c r="F12" s="21" t="s">
        <v>38</v>
      </c>
      <c r="G12" s="21"/>
      <c r="H12" s="21"/>
      <c r="I12" s="21"/>
      <c r="J12" s="21"/>
      <c r="K12" s="21" t="s">
        <v>351</v>
      </c>
      <c r="L12" s="21" t="s">
        <v>457</v>
      </c>
    </row>
    <row r="13" spans="3:12">
      <c r="C13" s="25" t="s">
        <v>438</v>
      </c>
      <c r="D13" s="21" t="s">
        <v>440</v>
      </c>
      <c r="E13" s="21"/>
      <c r="F13" s="21"/>
      <c r="G13" s="21"/>
      <c r="H13" s="21"/>
      <c r="I13" s="21"/>
      <c r="J13" s="21"/>
      <c r="K13" s="21" t="s">
        <v>351</v>
      </c>
      <c r="L13" s="21" t="s">
        <v>419</v>
      </c>
    </row>
    <row r="14" spans="3:12">
      <c r="C14" s="25" t="s">
        <v>439</v>
      </c>
      <c r="D14" s="21" t="s">
        <v>441</v>
      </c>
      <c r="E14" s="21"/>
      <c r="F14" s="21"/>
      <c r="G14" s="21"/>
      <c r="H14" s="21"/>
      <c r="I14" s="21"/>
      <c r="J14" s="21"/>
      <c r="K14" s="21" t="s">
        <v>350</v>
      </c>
      <c r="L14" s="21" t="s">
        <v>455</v>
      </c>
    </row>
    <row r="15" spans="3:12">
      <c r="C15" s="25" t="s">
        <v>322</v>
      </c>
      <c r="D15" s="27" t="s">
        <v>328</v>
      </c>
      <c r="E15" s="27" t="s">
        <v>342</v>
      </c>
      <c r="F15" s="27" t="s">
        <v>344</v>
      </c>
      <c r="G15" s="27"/>
      <c r="H15" s="27"/>
      <c r="I15" s="27"/>
      <c r="J15" s="27"/>
      <c r="K15" s="27" t="s">
        <v>350</v>
      </c>
      <c r="L15" s="27"/>
    </row>
    <row r="16" spans="3:12">
      <c r="C16" s="25" t="s">
        <v>323</v>
      </c>
      <c r="D16" s="27" t="s">
        <v>329</v>
      </c>
      <c r="E16" s="27" t="s">
        <v>345</v>
      </c>
      <c r="F16" s="27" t="s">
        <v>352</v>
      </c>
      <c r="G16" s="27" t="s">
        <v>353</v>
      </c>
      <c r="H16" s="27"/>
      <c r="I16" s="27"/>
      <c r="J16" s="27"/>
      <c r="K16" s="27" t="s">
        <v>350</v>
      </c>
      <c r="L16" s="27"/>
    </row>
    <row r="17" spans="3:12">
      <c r="C17" s="25" t="s">
        <v>324</v>
      </c>
      <c r="D17" s="27" t="s">
        <v>330</v>
      </c>
      <c r="E17" s="27" t="s">
        <v>346</v>
      </c>
      <c r="F17" s="27" t="s">
        <v>347</v>
      </c>
      <c r="G17" s="27" t="s">
        <v>348</v>
      </c>
      <c r="H17" s="27"/>
      <c r="I17" s="27"/>
      <c r="J17" s="27"/>
      <c r="K17" s="27" t="s">
        <v>350</v>
      </c>
      <c r="L17" s="27"/>
    </row>
    <row r="18" spans="3:12">
      <c r="C18" s="25" t="s">
        <v>325</v>
      </c>
      <c r="D18" s="27" t="s">
        <v>331</v>
      </c>
      <c r="E18" s="27" t="s">
        <v>343</v>
      </c>
      <c r="F18" s="27"/>
      <c r="G18" s="27"/>
      <c r="H18" s="27"/>
      <c r="I18" s="27"/>
      <c r="J18" s="27"/>
      <c r="K18" s="27" t="s">
        <v>350</v>
      </c>
      <c r="L18" s="27"/>
    </row>
    <row r="19" spans="3:12">
      <c r="C19" s="25" t="s">
        <v>326</v>
      </c>
      <c r="D19" s="27" t="s">
        <v>332</v>
      </c>
      <c r="E19" s="27" t="s">
        <v>343</v>
      </c>
      <c r="F19" s="27"/>
      <c r="G19" s="27"/>
      <c r="H19" s="27"/>
      <c r="I19" s="27"/>
      <c r="J19" s="27"/>
      <c r="K19" s="27" t="s">
        <v>350</v>
      </c>
      <c r="L19" s="27"/>
    </row>
    <row r="20" spans="3:12">
      <c r="C20" s="25" t="s">
        <v>327</v>
      </c>
      <c r="D20" s="27" t="s">
        <v>333</v>
      </c>
      <c r="E20" s="27" t="s">
        <v>349</v>
      </c>
      <c r="F20" s="27"/>
      <c r="G20" s="27"/>
      <c r="H20" s="27"/>
      <c r="I20" s="27"/>
      <c r="J20" s="27"/>
      <c r="K20" s="27" t="s">
        <v>350</v>
      </c>
      <c r="L20" s="27"/>
    </row>
    <row r="21" spans="3:12" ht="30">
      <c r="C21" s="25" t="s">
        <v>355</v>
      </c>
      <c r="D21" s="27" t="s">
        <v>356</v>
      </c>
      <c r="E21" s="27" t="s">
        <v>357</v>
      </c>
      <c r="F21" s="27" t="s">
        <v>38</v>
      </c>
      <c r="G21" s="27" t="s">
        <v>358</v>
      </c>
      <c r="H21" s="27" t="s">
        <v>108</v>
      </c>
      <c r="I21" s="27" t="s">
        <v>371</v>
      </c>
      <c r="J21" s="27" t="s">
        <v>378</v>
      </c>
      <c r="K21" s="27" t="s">
        <v>350</v>
      </c>
      <c r="L21" s="29" t="s">
        <v>379</v>
      </c>
    </row>
    <row r="22" spans="3:12">
      <c r="C22" s="25" t="s">
        <v>361</v>
      </c>
      <c r="D22" s="27" t="s">
        <v>362</v>
      </c>
      <c r="E22" s="27" t="s">
        <v>345</v>
      </c>
      <c r="F22" s="27" t="s">
        <v>363</v>
      </c>
      <c r="G22" s="27" t="s">
        <v>364</v>
      </c>
      <c r="H22" s="27" t="s">
        <v>352</v>
      </c>
      <c r="I22" s="27"/>
      <c r="J22" s="27"/>
      <c r="K22" s="27" t="s">
        <v>350</v>
      </c>
      <c r="L22" s="27" t="s">
        <v>368</v>
      </c>
    </row>
    <row r="23" spans="3:12" ht="30">
      <c r="C23" s="25" t="s">
        <v>383</v>
      </c>
      <c r="D23" s="27" t="s">
        <v>385</v>
      </c>
      <c r="E23" s="27" t="s">
        <v>346</v>
      </c>
      <c r="F23" s="27" t="s">
        <v>388</v>
      </c>
      <c r="G23" s="27" t="s">
        <v>38</v>
      </c>
      <c r="H23" s="27"/>
      <c r="I23" s="27"/>
      <c r="J23" s="27"/>
      <c r="K23" s="27" t="s">
        <v>350</v>
      </c>
      <c r="L23" s="29" t="s">
        <v>418</v>
      </c>
    </row>
    <row r="24" spans="3:12">
      <c r="C24" s="25" t="s">
        <v>384</v>
      </c>
      <c r="D24" s="27" t="s">
        <v>386</v>
      </c>
      <c r="E24" s="27" t="s">
        <v>240</v>
      </c>
      <c r="F24" s="27" t="s">
        <v>364</v>
      </c>
      <c r="G24" s="27"/>
      <c r="H24" s="27"/>
      <c r="I24" s="27"/>
      <c r="J24" s="27"/>
      <c r="K24" s="27" t="s">
        <v>350</v>
      </c>
      <c r="L24" s="27" t="s">
        <v>387</v>
      </c>
    </row>
    <row r="25" spans="3:12">
      <c r="C25" s="25" t="s">
        <v>395</v>
      </c>
      <c r="D25" s="27" t="s">
        <v>412</v>
      </c>
      <c r="E25" s="27"/>
      <c r="F25" s="27"/>
      <c r="G25" s="27"/>
      <c r="H25" s="27"/>
      <c r="I25" s="27"/>
      <c r="J25" s="27"/>
      <c r="K25" s="27" t="s">
        <v>350</v>
      </c>
      <c r="L25" s="27"/>
    </row>
    <row r="26" spans="3:12" ht="30">
      <c r="C26" s="25" t="s">
        <v>413</v>
      </c>
      <c r="D26" s="27" t="s">
        <v>414</v>
      </c>
      <c r="E26" s="27" t="s">
        <v>415</v>
      </c>
      <c r="F26" s="27" t="s">
        <v>416</v>
      </c>
      <c r="G26" s="27"/>
      <c r="H26" s="27"/>
      <c r="I26" s="27"/>
      <c r="J26" s="27"/>
      <c r="K26" s="27" t="s">
        <v>350</v>
      </c>
      <c r="L26" s="29" t="s">
        <v>417</v>
      </c>
    </row>
    <row r="27" spans="3:12">
      <c r="C27" s="25" t="s">
        <v>437</v>
      </c>
      <c r="D27" s="27" t="s">
        <v>442</v>
      </c>
      <c r="E27" s="27"/>
      <c r="F27" s="27"/>
      <c r="G27" s="27"/>
      <c r="H27" s="27"/>
      <c r="I27" s="27"/>
      <c r="J27" s="27"/>
      <c r="K27" s="27" t="s">
        <v>350</v>
      </c>
      <c r="L27" s="29"/>
    </row>
    <row r="28" spans="3:12">
      <c r="C28" s="25" t="s">
        <v>443</v>
      </c>
      <c r="D28" s="27" t="s">
        <v>444</v>
      </c>
      <c r="E28" s="27"/>
      <c r="F28" s="27"/>
      <c r="G28" s="27"/>
      <c r="H28" s="27"/>
      <c r="I28" s="27"/>
      <c r="J28" s="27"/>
      <c r="K28" s="27" t="s">
        <v>350</v>
      </c>
      <c r="L28" s="29"/>
    </row>
  </sheetData>
  <phoneticPr fontId="5" type="noConversion"/>
  <dataValidations count="1">
    <dataValidation type="list" allowBlank="1" showInputMessage="1" showErrorMessage="1" sqref="K2:K28" xr:uid="{07541633-02A6-42F9-93AA-E53E36778EA0}">
      <formula1>"En Proceso,Finalizado"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6C176-1EA6-48AC-B2F1-D6296306ED3E}">
  <sheetPr codeName="Hoja3"/>
  <dimension ref="A3:Q49"/>
  <sheetViews>
    <sheetView zoomScale="80" zoomScaleNormal="80" workbookViewId="0">
      <selection activeCell="P34" sqref="P34"/>
    </sheetView>
  </sheetViews>
  <sheetFormatPr baseColWidth="10" defaultRowHeight="15"/>
  <cols>
    <col min="1" max="1" width="11.42578125" style="2"/>
    <col min="2" max="3" width="25.5703125" style="2" customWidth="1"/>
    <col min="4" max="6" width="11.42578125" style="2"/>
    <col min="7" max="7" width="15.5703125" style="2" customWidth="1"/>
    <col min="8" max="8" width="21.85546875" style="2" customWidth="1"/>
    <col min="9" max="9" width="19.42578125" style="2" customWidth="1"/>
    <col min="10" max="16384" width="11.42578125" style="2"/>
  </cols>
  <sheetData>
    <row r="3" spans="1:17">
      <c r="A3" s="36" t="s">
        <v>18</v>
      </c>
      <c r="B3" s="36"/>
      <c r="C3" s="36"/>
      <c r="D3" s="36"/>
      <c r="E3" s="36"/>
      <c r="G3" s="36" t="s">
        <v>24</v>
      </c>
      <c r="H3" s="36"/>
      <c r="I3" s="36"/>
      <c r="J3" s="36"/>
      <c r="K3" s="36"/>
      <c r="M3" s="36" t="s">
        <v>32</v>
      </c>
      <c r="N3" s="36"/>
      <c r="O3" s="36"/>
      <c r="P3" s="36"/>
      <c r="Q3" s="36"/>
    </row>
    <row r="4" spans="1:17">
      <c r="A4" s="1" t="s">
        <v>17</v>
      </c>
      <c r="B4" s="1" t="s">
        <v>4</v>
      </c>
      <c r="C4" s="1" t="s">
        <v>11</v>
      </c>
      <c r="D4" s="1" t="s">
        <v>10</v>
      </c>
      <c r="E4" s="1" t="s">
        <v>16</v>
      </c>
      <c r="G4" s="1" t="s">
        <v>17</v>
      </c>
      <c r="H4" s="1" t="s">
        <v>4</v>
      </c>
      <c r="I4" s="1" t="s">
        <v>11</v>
      </c>
      <c r="J4" s="1" t="s">
        <v>10</v>
      </c>
      <c r="K4" s="1" t="s">
        <v>16</v>
      </c>
      <c r="M4" s="1" t="s">
        <v>17</v>
      </c>
      <c r="N4" s="1" t="s">
        <v>4</v>
      </c>
      <c r="O4" s="1" t="s">
        <v>11</v>
      </c>
      <c r="P4" s="1" t="s">
        <v>10</v>
      </c>
      <c r="Q4" s="1" t="s">
        <v>16</v>
      </c>
    </row>
    <row r="5" spans="1:17">
      <c r="A5" s="5">
        <v>46023</v>
      </c>
      <c r="B5" s="1" t="s">
        <v>7</v>
      </c>
      <c r="C5" s="1" t="s">
        <v>14</v>
      </c>
      <c r="D5" s="1">
        <f>COUNTIFS('ENTREGA PENDIENTE'!D:D, "&gt;=" &amp; INDICADORES!A5, 'ENTREGA PENDIENTE'!D:D, "&lt;" &amp; INDICADORES!A6,'ENTREGA PENDIENTE'!K:K, INDICADORES!B5)</f>
        <v>0</v>
      </c>
      <c r="E5" s="4" t="e">
        <f>+D5/D8</f>
        <v>#DIV/0!</v>
      </c>
      <c r="G5" s="5">
        <v>46204</v>
      </c>
      <c r="H5" s="1" t="s">
        <v>7</v>
      </c>
      <c r="I5" s="1" t="s">
        <v>14</v>
      </c>
      <c r="J5" s="1">
        <f>COUNTIFS('ENTREGA PENDIENTE'!D:D, "&gt;=" &amp; INDICADORES!G5, 'ENTREGA PENDIENTE'!D:D, "&lt;" &amp; INDICADORES!G6,'ENTREGA PENDIENTE'!K:K, INDICADORES!H5)</f>
        <v>0</v>
      </c>
      <c r="K5" s="4" t="e">
        <f>+J5/J8</f>
        <v>#DIV/0!</v>
      </c>
      <c r="M5" s="5">
        <v>46023</v>
      </c>
      <c r="N5" s="1" t="s">
        <v>7</v>
      </c>
      <c r="O5" s="1" t="s">
        <v>14</v>
      </c>
      <c r="P5" s="1">
        <f>+COUNTIFS('ENTREGA PENDIENTE'!D:D,"&gt;="&amp;INDICADORES!M5,'ENTREGA PENDIENTE'!D:D,"&lt;"&amp;INDICADORES!M6,'ENTREGA PENDIENTE'!K:K,INDICADORES!N5)</f>
        <v>0</v>
      </c>
      <c r="Q5" s="4" t="e">
        <f>+P5/P8</f>
        <v>#DIV/0!</v>
      </c>
    </row>
    <row r="6" spans="1:17">
      <c r="A6" s="5">
        <v>46054</v>
      </c>
      <c r="B6" s="37" t="s">
        <v>8</v>
      </c>
      <c r="C6" s="3" t="s">
        <v>12</v>
      </c>
      <c r="D6" s="1">
        <f>+COUNTIFS('ENTREGA PENDIENTE'!D:D,"&gt;="&amp;INDICADORES!A5,'ENTREGA PENDIENTE'!D:D,"&lt;"&amp;INDICADORES!A6,'ENTREGA PENDIENTE'!K:K,B6,'ENTREGA PENDIENTE'!L:L,INDICADORES!C6)</f>
        <v>0</v>
      </c>
      <c r="E6" s="4" t="e">
        <f>+D6/D8</f>
        <v>#DIV/0!</v>
      </c>
      <c r="F6" s="19"/>
      <c r="G6" s="5">
        <v>46235</v>
      </c>
      <c r="H6" s="37" t="s">
        <v>8</v>
      </c>
      <c r="I6" s="3" t="s">
        <v>12</v>
      </c>
      <c r="J6" s="1">
        <f>+COUNTIFS('ENTREGA PENDIENTE'!D:D,"&gt;="&amp;INDICADORES!G5,'ENTREGA PENDIENTE'!D:D,"&lt;"&amp;INDICADORES!G6,'ENTREGA PENDIENTE'!K:K,H6,'ENTREGA PENDIENTE'!L:L,INDICADORES!I6)</f>
        <v>0</v>
      </c>
      <c r="K6" s="4" t="e">
        <f>+J6/J8</f>
        <v>#DIV/0!</v>
      </c>
      <c r="M6" s="5">
        <v>46388</v>
      </c>
      <c r="N6" s="37" t="s">
        <v>8</v>
      </c>
      <c r="O6" s="3" t="s">
        <v>12</v>
      </c>
      <c r="P6" s="1">
        <f>+COUNTIFS('ENTREGA PENDIENTE'!D:D,"&gt;="&amp;INDICADORES!M5,'ENTREGA PENDIENTE'!D:D,"&lt;"&amp;INDICADORES!M6,'ENTREGA PENDIENTE'!K:K,N6,'ENTREGA PENDIENTE'!L:L,INDICADORES!O6)</f>
        <v>0</v>
      </c>
      <c r="Q6" s="4" t="e">
        <f>+P6/P8</f>
        <v>#DIV/0!</v>
      </c>
    </row>
    <row r="7" spans="1:17">
      <c r="B7" s="37"/>
      <c r="C7" s="3" t="s">
        <v>13</v>
      </c>
      <c r="D7" s="1">
        <f>+COUNTIFS('ENTREGA PENDIENTE'!D:D,"&gt;="&amp;INDICADORES!A5,'ENTREGA PENDIENTE'!D:D,"&lt;"&amp;INDICADORES!A6,'ENTREGA PENDIENTE'!K:K,B6,'ENTREGA PENDIENTE'!L:L,C7)</f>
        <v>0</v>
      </c>
      <c r="E7" s="4" t="e">
        <f>+D7/D8</f>
        <v>#DIV/0!</v>
      </c>
      <c r="F7" s="20"/>
      <c r="H7" s="37"/>
      <c r="I7" s="3" t="s">
        <v>13</v>
      </c>
      <c r="J7" s="1">
        <f>+COUNTIFS('ENTREGA PENDIENTE'!D:D,"&gt;="&amp;INDICADORES!G5,'ENTREGA PENDIENTE'!D:D,"&lt;"&amp;INDICADORES!G6,'ENTREGA PENDIENTE'!K:K,H6,'ENTREGA PENDIENTE'!L:L,I7)</f>
        <v>0</v>
      </c>
      <c r="K7" s="4" t="e">
        <f>+J7/J8</f>
        <v>#DIV/0!</v>
      </c>
      <c r="N7" s="37"/>
      <c r="O7" s="3" t="s">
        <v>13</v>
      </c>
      <c r="P7" s="1">
        <f>+COUNTIFS('ENTREGA PENDIENTE'!D:D,"&gt;="&amp;INDICADORES!M5,'ENTREGA PENDIENTE'!D:D,"&lt;"&amp;INDICADORES!M6,'ENTREGA PENDIENTE'!K:K,N6,'ENTREGA PENDIENTE'!L:L,O7)</f>
        <v>0</v>
      </c>
      <c r="Q7" s="4" t="e">
        <f>+P7/P8</f>
        <v>#DIV/0!</v>
      </c>
    </row>
    <row r="8" spans="1:17">
      <c r="B8" s="38" t="s">
        <v>15</v>
      </c>
      <c r="C8" s="38"/>
      <c r="D8" s="39">
        <f>+SUM(D5:D7)</f>
        <v>0</v>
      </c>
      <c r="E8" s="40"/>
      <c r="H8" s="38" t="s">
        <v>15</v>
      </c>
      <c r="I8" s="38"/>
      <c r="J8" s="39">
        <f>+SUM(J5:J7)</f>
        <v>0</v>
      </c>
      <c r="K8" s="40"/>
      <c r="N8" s="38" t="s">
        <v>15</v>
      </c>
      <c r="O8" s="38"/>
      <c r="P8" s="39">
        <f>+SUM(P5:P7)</f>
        <v>0</v>
      </c>
      <c r="Q8" s="40"/>
    </row>
    <row r="10" spans="1:17">
      <c r="A10" s="36" t="s">
        <v>20</v>
      </c>
      <c r="B10" s="36"/>
      <c r="C10" s="36"/>
      <c r="D10" s="36"/>
      <c r="E10" s="36"/>
      <c r="G10" s="36" t="s">
        <v>25</v>
      </c>
      <c r="H10" s="36"/>
      <c r="I10" s="36"/>
      <c r="J10" s="36"/>
      <c r="K10" s="36"/>
    </row>
    <row r="11" spans="1:17">
      <c r="A11" s="1" t="s">
        <v>17</v>
      </c>
      <c r="B11" s="1" t="s">
        <v>4</v>
      </c>
      <c r="C11" s="1" t="s">
        <v>11</v>
      </c>
      <c r="D11" s="1" t="s">
        <v>10</v>
      </c>
      <c r="E11" s="1" t="s">
        <v>16</v>
      </c>
      <c r="G11" s="1" t="s">
        <v>17</v>
      </c>
      <c r="H11" s="1" t="s">
        <v>4</v>
      </c>
      <c r="I11" s="1" t="s">
        <v>11</v>
      </c>
      <c r="J11" s="1" t="s">
        <v>10</v>
      </c>
      <c r="K11" s="1" t="s">
        <v>16</v>
      </c>
    </row>
    <row r="12" spans="1:17">
      <c r="A12" s="5">
        <v>46054</v>
      </c>
      <c r="B12" s="1" t="s">
        <v>7</v>
      </c>
      <c r="C12" s="1" t="s">
        <v>14</v>
      </c>
      <c r="D12" s="1">
        <f>COUNTIFS('ENTREGA PENDIENTE'!D:D, "&gt;=" &amp; INDICADORES!A12, 'ENTREGA PENDIENTE'!D:D, "&lt;" &amp; INDICADORES!A13,'ENTREGA PENDIENTE'!K:K, INDICADORES!B12)</f>
        <v>0</v>
      </c>
      <c r="E12" s="4" t="e">
        <f>+D12/D15</f>
        <v>#DIV/0!</v>
      </c>
      <c r="G12" s="5">
        <v>46235</v>
      </c>
      <c r="H12" s="1" t="s">
        <v>7</v>
      </c>
      <c r="I12" s="1" t="s">
        <v>14</v>
      </c>
      <c r="J12" s="1">
        <f>COUNTIFS('ENTREGA PENDIENTE'!D:D, "&gt;=" &amp; INDICADORES!G12, 'ENTREGA PENDIENTE'!D:D, "&lt;" &amp; INDICADORES!G13,'ENTREGA PENDIENTE'!K:K, INDICADORES!H12)</f>
        <v>0</v>
      </c>
      <c r="K12" s="4" t="e">
        <f>+J12/J15</f>
        <v>#DIV/0!</v>
      </c>
    </row>
    <row r="13" spans="1:17">
      <c r="A13" s="5">
        <v>46082</v>
      </c>
      <c r="B13" s="41" t="s">
        <v>8</v>
      </c>
      <c r="C13" s="3" t="s">
        <v>12</v>
      </c>
      <c r="D13" s="1">
        <f>COUNTIFS('ENTREGA PENDIENTE'!D:D, "&gt;=" &amp; INDICADORES!A12, 'ENTREGA PENDIENTE'!D:D, "&lt;" &amp; INDICADORES!A13,'ENTREGA PENDIENTE'!K:K, INDICADORES!B13)</f>
        <v>0</v>
      </c>
      <c r="E13" s="4" t="e">
        <f>+D13/D15</f>
        <v>#DIV/0!</v>
      </c>
      <c r="G13" s="5">
        <v>46266</v>
      </c>
      <c r="H13" s="41" t="s">
        <v>8</v>
      </c>
      <c r="I13" s="3" t="s">
        <v>12</v>
      </c>
      <c r="J13" s="1">
        <f>+COUNTIFS('ENTREGA PENDIENTE'!D:D,"&gt;="&amp;INDICADORES!G12,'ENTREGA PENDIENTE'!D:D,"&lt;"&amp;INDICADORES!G13,'ENTREGA PENDIENTE'!K:K,H13,'ENTREGA PENDIENTE'!L:L,INDICADORES!I13)</f>
        <v>0</v>
      </c>
      <c r="K13" s="4" t="e">
        <f>+J13/J15</f>
        <v>#DIV/0!</v>
      </c>
    </row>
    <row r="14" spans="1:17">
      <c r="B14" s="42"/>
      <c r="C14" s="3" t="s">
        <v>13</v>
      </c>
      <c r="D14" s="1">
        <f>+COUNTIFS('ENTREGA PENDIENTE'!D:D,"&gt;="&amp;INDICADORES!A12,'ENTREGA PENDIENTE'!D:D,"&lt;"&amp;INDICADORES!A13,'ENTREGA PENDIENTE'!K:K,B6,'ENTREGA PENDIENTE'!L:L,C7)</f>
        <v>0</v>
      </c>
      <c r="E14" s="4" t="e">
        <f>+D14/D15</f>
        <v>#DIV/0!</v>
      </c>
      <c r="H14" s="42"/>
      <c r="I14" s="3" t="s">
        <v>13</v>
      </c>
      <c r="J14" s="1">
        <f>+COUNTIFS('ENTREGA PENDIENTE'!D:D,"&gt;="&amp;INDICADORES!G12,'ENTREGA PENDIENTE'!D:D,"&lt;"&amp;INDICADORES!G13,'ENTREGA PENDIENTE'!K:K,H13,'ENTREGA PENDIENTE'!L:L,I14)</f>
        <v>0</v>
      </c>
      <c r="K14" s="4" t="e">
        <f>+J14/J15</f>
        <v>#DIV/0!</v>
      </c>
    </row>
    <row r="15" spans="1:17">
      <c r="B15" s="38" t="s">
        <v>15</v>
      </c>
      <c r="C15" s="38"/>
      <c r="D15" s="39">
        <f>+SUM(D12:D14)</f>
        <v>0</v>
      </c>
      <c r="E15" s="40"/>
      <c r="H15" s="38" t="s">
        <v>15</v>
      </c>
      <c r="I15" s="38"/>
      <c r="J15" s="39">
        <f>+SUM(J12:J14)</f>
        <v>0</v>
      </c>
      <c r="K15" s="40"/>
    </row>
    <row r="17" spans="1:11">
      <c r="A17" s="36" t="s">
        <v>19</v>
      </c>
      <c r="B17" s="36"/>
      <c r="C17" s="36"/>
      <c r="D17" s="36"/>
      <c r="E17" s="36"/>
      <c r="G17" s="36" t="s">
        <v>26</v>
      </c>
      <c r="H17" s="36"/>
      <c r="I17" s="36"/>
      <c r="J17" s="36"/>
      <c r="K17" s="36"/>
    </row>
    <row r="18" spans="1:11">
      <c r="A18" s="1" t="s">
        <v>17</v>
      </c>
      <c r="B18" s="1" t="s">
        <v>4</v>
      </c>
      <c r="C18" s="1" t="s">
        <v>11</v>
      </c>
      <c r="D18" s="1" t="s">
        <v>10</v>
      </c>
      <c r="E18" s="1" t="s">
        <v>16</v>
      </c>
      <c r="G18" s="1" t="s">
        <v>17</v>
      </c>
      <c r="H18" s="1" t="s">
        <v>4</v>
      </c>
      <c r="I18" s="1" t="s">
        <v>11</v>
      </c>
      <c r="J18" s="1" t="s">
        <v>10</v>
      </c>
      <c r="K18" s="1" t="s">
        <v>16</v>
      </c>
    </row>
    <row r="19" spans="1:11">
      <c r="A19" s="5">
        <v>46082</v>
      </c>
      <c r="B19" s="1" t="s">
        <v>7</v>
      </c>
      <c r="C19" s="1" t="s">
        <v>14</v>
      </c>
      <c r="D19" s="1">
        <f>COUNTIFS('ENTREGA PENDIENTE'!D:D, "&gt;=" &amp; INDICADORES!A19, 'ENTREGA PENDIENTE'!D:D, "&lt;" &amp; INDICADORES!A20,'ENTREGA PENDIENTE'!K:K, INDICADORES!B19)</f>
        <v>0</v>
      </c>
      <c r="E19" s="4" t="e">
        <f>+D19/D22</f>
        <v>#DIV/0!</v>
      </c>
      <c r="G19" s="5">
        <v>46266</v>
      </c>
      <c r="H19" s="1" t="s">
        <v>7</v>
      </c>
      <c r="I19" s="1" t="s">
        <v>14</v>
      </c>
      <c r="J19" s="1">
        <f>COUNTIFS('ENTREGA PENDIENTE'!D:D, "&gt;=" &amp; INDICADORES!G19, 'ENTREGA PENDIENTE'!D:D, "&lt;" &amp; INDICADORES!G20,'ENTREGA PENDIENTE'!K:K, INDICADORES!H19)</f>
        <v>0</v>
      </c>
      <c r="K19" s="4" t="e">
        <f>+J19/J22</f>
        <v>#DIV/0!</v>
      </c>
    </row>
    <row r="20" spans="1:11">
      <c r="A20" s="5">
        <v>46113</v>
      </c>
      <c r="B20" s="41" t="s">
        <v>8</v>
      </c>
      <c r="C20" s="3" t="s">
        <v>12</v>
      </c>
      <c r="D20" s="1">
        <f>COUNTIFS('ENTREGA PENDIENTE'!D:D, "&gt;=" &amp; INDICADORES!A19, 'ENTREGA PENDIENTE'!D:D, "&lt;" &amp; INDICADORES!A20,'ENTREGA PENDIENTE'!K:K, INDICADORES!B20)</f>
        <v>0</v>
      </c>
      <c r="E20" s="4" t="e">
        <f>+D20/D22</f>
        <v>#DIV/0!</v>
      </c>
      <c r="G20" s="5">
        <v>46296</v>
      </c>
      <c r="H20" s="41" t="s">
        <v>8</v>
      </c>
      <c r="I20" s="3" t="s">
        <v>12</v>
      </c>
      <c r="J20" s="1">
        <f>+COUNTIFS('ENTREGA PENDIENTE'!D:D,"&gt;="&amp;INDICADORES!G19,'ENTREGA PENDIENTE'!D:D,"&lt;"&amp;INDICADORES!G20,'ENTREGA PENDIENTE'!K:K,H20,'ENTREGA PENDIENTE'!L:L,INDICADORES!I20)</f>
        <v>0</v>
      </c>
      <c r="K20" s="4" t="e">
        <f>+J20/J22</f>
        <v>#DIV/0!</v>
      </c>
    </row>
    <row r="21" spans="1:11">
      <c r="B21" s="42"/>
      <c r="C21" s="3" t="s">
        <v>13</v>
      </c>
      <c r="D21" s="1">
        <f>+COUNTIFS('ENTREGA PENDIENTE'!D:D,"&gt;="&amp;INDICADORES!A19,'ENTREGA PENDIENTE'!D:D,"&lt;"&amp;INDICADORES!A20,'ENTREGA PENDIENTE'!K:K,B13,'ENTREGA PENDIENTE'!L:L,C14)</f>
        <v>0</v>
      </c>
      <c r="E21" s="4" t="e">
        <f>+D21/D22</f>
        <v>#DIV/0!</v>
      </c>
      <c r="H21" s="42"/>
      <c r="I21" s="3" t="s">
        <v>13</v>
      </c>
      <c r="J21" s="1">
        <f>+COUNTIFS('ENTREGA PENDIENTE'!D:D,"&gt;="&amp;INDICADORES!G19,'ENTREGA PENDIENTE'!D:D,"&lt;"&amp;INDICADORES!G20,'ENTREGA PENDIENTE'!K:K,H20,'ENTREGA PENDIENTE'!L:L,I21)</f>
        <v>0</v>
      </c>
      <c r="K21" s="4" t="e">
        <f>+J21/J22</f>
        <v>#DIV/0!</v>
      </c>
    </row>
    <row r="22" spans="1:11">
      <c r="B22" s="38" t="s">
        <v>15</v>
      </c>
      <c r="C22" s="38"/>
      <c r="D22" s="39">
        <f>+SUM(D19:D21)</f>
        <v>0</v>
      </c>
      <c r="E22" s="40"/>
      <c r="H22" s="38" t="s">
        <v>15</v>
      </c>
      <c r="I22" s="38"/>
      <c r="J22" s="39">
        <f>+SUM(J19:J21)</f>
        <v>0</v>
      </c>
      <c r="K22" s="40"/>
    </row>
    <row r="24" spans="1:11">
      <c r="A24" s="36" t="s">
        <v>21</v>
      </c>
      <c r="B24" s="36"/>
      <c r="C24" s="36"/>
      <c r="D24" s="36"/>
      <c r="E24" s="36"/>
      <c r="G24" s="36" t="s">
        <v>27</v>
      </c>
      <c r="H24" s="36"/>
      <c r="I24" s="36"/>
      <c r="J24" s="36"/>
      <c r="K24" s="36"/>
    </row>
    <row r="25" spans="1:11">
      <c r="A25" s="1" t="s">
        <v>17</v>
      </c>
      <c r="B25" s="1" t="s">
        <v>4</v>
      </c>
      <c r="C25" s="1" t="s">
        <v>11</v>
      </c>
      <c r="D25" s="1" t="s">
        <v>10</v>
      </c>
      <c r="E25" s="1" t="s">
        <v>16</v>
      </c>
      <c r="G25" s="1" t="s">
        <v>17</v>
      </c>
      <c r="H25" s="1" t="s">
        <v>4</v>
      </c>
      <c r="I25" s="1" t="s">
        <v>11</v>
      </c>
      <c r="J25" s="1" t="s">
        <v>10</v>
      </c>
      <c r="K25" s="1" t="s">
        <v>16</v>
      </c>
    </row>
    <row r="26" spans="1:11">
      <c r="A26" s="5">
        <v>46113</v>
      </c>
      <c r="B26" s="1" t="s">
        <v>7</v>
      </c>
      <c r="C26" s="1" t="s">
        <v>14</v>
      </c>
      <c r="D26" s="1">
        <f>COUNTIFS('ENTREGA PENDIENTE'!D:D, "&gt;=" &amp; INDICADORES!A26, 'ENTREGA PENDIENTE'!D:D, "&lt;" &amp; INDICADORES!A27,'ENTREGA PENDIENTE'!K:K, INDICADORES!B26)</f>
        <v>0</v>
      </c>
      <c r="E26" s="4" t="e">
        <f>+D26/D29</f>
        <v>#DIV/0!</v>
      </c>
      <c r="G26" s="5">
        <v>46296</v>
      </c>
      <c r="H26" s="1" t="s">
        <v>7</v>
      </c>
      <c r="I26" s="1" t="s">
        <v>14</v>
      </c>
      <c r="J26" s="1">
        <f>COUNTIFS('ENTREGA PENDIENTE'!D:D, "&gt;=" &amp; INDICADORES!G26, 'ENTREGA PENDIENTE'!D:D, "&lt;" &amp; INDICADORES!G27,'ENTREGA PENDIENTE'!K:K, INDICADORES!H26)</f>
        <v>0</v>
      </c>
      <c r="K26" s="4" t="e">
        <f>+J26/J29</f>
        <v>#DIV/0!</v>
      </c>
    </row>
    <row r="27" spans="1:11">
      <c r="A27" s="5">
        <v>46143</v>
      </c>
      <c r="B27" s="41" t="s">
        <v>8</v>
      </c>
      <c r="C27" s="3" t="s">
        <v>12</v>
      </c>
      <c r="D27" s="1">
        <f>COUNTIFS('ENTREGA PENDIENTE'!D:D, "&gt;=" &amp; INDICADORES!A26, 'ENTREGA PENDIENTE'!D:D, "&lt;" &amp; INDICADORES!A27,'ENTREGA PENDIENTE'!K:K, INDICADORES!B27)</f>
        <v>0</v>
      </c>
      <c r="E27" s="4" t="e">
        <f>+D27/D29</f>
        <v>#DIV/0!</v>
      </c>
      <c r="G27" s="5">
        <v>46327</v>
      </c>
      <c r="H27" s="41" t="s">
        <v>8</v>
      </c>
      <c r="I27" s="3" t="s">
        <v>12</v>
      </c>
      <c r="J27" s="1">
        <f>+COUNTIFS('ENTREGA PENDIENTE'!D:D,"&gt;="&amp;INDICADORES!G26,'ENTREGA PENDIENTE'!D:D,"&lt;"&amp;INDICADORES!G27,'ENTREGA PENDIENTE'!K:K,H27,'ENTREGA PENDIENTE'!L:L,INDICADORES!I27)</f>
        <v>0</v>
      </c>
      <c r="K27" s="4" t="e">
        <f>+J27/J29</f>
        <v>#DIV/0!</v>
      </c>
    </row>
    <row r="28" spans="1:11">
      <c r="B28" s="42"/>
      <c r="C28" s="3" t="s">
        <v>13</v>
      </c>
      <c r="D28" s="1">
        <f>+COUNTIFS('ENTREGA PENDIENTE'!D:D,"&gt;="&amp;INDICADORES!A26,'ENTREGA PENDIENTE'!D:D,"&lt;"&amp;INDICADORES!A27,'ENTREGA PENDIENTE'!K:K,B20,'ENTREGA PENDIENTE'!L:L,C21)</f>
        <v>0</v>
      </c>
      <c r="E28" s="4" t="e">
        <f>+D28/D29</f>
        <v>#DIV/0!</v>
      </c>
      <c r="H28" s="42"/>
      <c r="I28" s="3" t="s">
        <v>13</v>
      </c>
      <c r="J28" s="1">
        <f>+COUNTIFS('ENTREGA PENDIENTE'!D:D,"&gt;="&amp;INDICADORES!G26,'ENTREGA PENDIENTE'!D:D,"&lt;"&amp;INDICADORES!G27,'ENTREGA PENDIENTE'!K:K,H27,'ENTREGA PENDIENTE'!L:L,I28)</f>
        <v>0</v>
      </c>
      <c r="K28" s="4" t="e">
        <f>+J28/J29</f>
        <v>#DIV/0!</v>
      </c>
    </row>
    <row r="29" spans="1:11">
      <c r="B29" s="38" t="s">
        <v>15</v>
      </c>
      <c r="C29" s="38"/>
      <c r="D29" s="39">
        <f>+SUM(D26:D28)</f>
        <v>0</v>
      </c>
      <c r="E29" s="40"/>
      <c r="H29" s="38" t="s">
        <v>15</v>
      </c>
      <c r="I29" s="38"/>
      <c r="J29" s="39">
        <f>+SUM(J26:J28)</f>
        <v>0</v>
      </c>
      <c r="K29" s="40"/>
    </row>
    <row r="31" spans="1:11">
      <c r="A31" s="36" t="s">
        <v>22</v>
      </c>
      <c r="B31" s="36"/>
      <c r="C31" s="36"/>
      <c r="D31" s="36"/>
      <c r="E31" s="36"/>
      <c r="G31" s="36" t="s">
        <v>28</v>
      </c>
      <c r="H31" s="36"/>
      <c r="I31" s="36"/>
      <c r="J31" s="36"/>
      <c r="K31" s="36"/>
    </row>
    <row r="32" spans="1:11">
      <c r="A32" s="1" t="s">
        <v>17</v>
      </c>
      <c r="B32" s="1" t="s">
        <v>4</v>
      </c>
      <c r="C32" s="1" t="s">
        <v>11</v>
      </c>
      <c r="D32" s="1" t="s">
        <v>10</v>
      </c>
      <c r="E32" s="1" t="s">
        <v>16</v>
      </c>
      <c r="G32" s="1" t="s">
        <v>17</v>
      </c>
      <c r="H32" s="1" t="s">
        <v>4</v>
      </c>
      <c r="I32" s="1" t="s">
        <v>11</v>
      </c>
      <c r="J32" s="1" t="s">
        <v>10</v>
      </c>
      <c r="K32" s="1" t="s">
        <v>16</v>
      </c>
    </row>
    <row r="33" spans="1:13">
      <c r="A33" s="5">
        <v>46143</v>
      </c>
      <c r="B33" s="1" t="s">
        <v>7</v>
      </c>
      <c r="C33" s="1" t="s">
        <v>14</v>
      </c>
      <c r="D33" s="1">
        <f>COUNTIFS('ENTREGA PENDIENTE'!D:D, "&gt;=" &amp; INDICADORES!A33, 'ENTREGA PENDIENTE'!D:D, "&lt;" &amp; INDICADORES!A34,'ENTREGA PENDIENTE'!K:K, INDICADORES!B33)</f>
        <v>0</v>
      </c>
      <c r="E33" s="4" t="e">
        <f>+D33/D36</f>
        <v>#DIV/0!</v>
      </c>
      <c r="G33" s="5">
        <v>46327</v>
      </c>
      <c r="H33" s="1" t="s">
        <v>7</v>
      </c>
      <c r="I33" s="1" t="s">
        <v>14</v>
      </c>
      <c r="J33" s="1">
        <f>COUNTIFS('ENTREGA PENDIENTE'!D:D, "&gt;=" &amp; INDICADORES!G33, 'ENTREGA PENDIENTE'!D:D, "&lt;" &amp; INDICADORES!G34,'ENTREGA PENDIENTE'!K:K, INDICADORES!H33)</f>
        <v>0</v>
      </c>
      <c r="K33" s="4" t="e">
        <f>+J33/J36</f>
        <v>#DIV/0!</v>
      </c>
    </row>
    <row r="34" spans="1:13">
      <c r="A34" s="5">
        <v>46174</v>
      </c>
      <c r="B34" s="41" t="s">
        <v>8</v>
      </c>
      <c r="C34" s="3" t="s">
        <v>12</v>
      </c>
      <c r="D34" s="1">
        <f>COUNTIFS('ENTREGA PENDIENTE'!D:D, "&gt;=" &amp; INDICADORES!A33, 'ENTREGA PENDIENTE'!D:D, "&lt;" &amp; INDICADORES!A34,'ENTREGA PENDIENTE'!K:K, INDICADORES!B34)</f>
        <v>0</v>
      </c>
      <c r="E34" s="4" t="e">
        <f>+D34/D36</f>
        <v>#DIV/0!</v>
      </c>
      <c r="G34" s="5">
        <v>46357</v>
      </c>
      <c r="H34" s="41" t="s">
        <v>8</v>
      </c>
      <c r="I34" s="3" t="s">
        <v>12</v>
      </c>
      <c r="J34" s="1">
        <f>+COUNTIFS('ENTREGA PENDIENTE'!D:D,"&gt;="&amp;INDICADORES!G33,'ENTREGA PENDIENTE'!D:D,"&lt;"&amp;INDICADORES!G34,'ENTREGA PENDIENTE'!K:K,H34,'ENTREGA PENDIENTE'!L:L,INDICADORES!I34)</f>
        <v>0</v>
      </c>
      <c r="K34" s="4" t="e">
        <f>+J34/J36</f>
        <v>#DIV/0!</v>
      </c>
    </row>
    <row r="35" spans="1:13">
      <c r="B35" s="42"/>
      <c r="C35" s="3" t="s">
        <v>13</v>
      </c>
      <c r="D35" s="1">
        <f>+COUNTIFS('ENTREGA PENDIENTE'!D:D,"&gt;="&amp;INDICADORES!A33,'ENTREGA PENDIENTE'!D:D,"&lt;"&amp;INDICADORES!A34,'ENTREGA PENDIENTE'!K:K,B27,'ENTREGA PENDIENTE'!L:L,C28)</f>
        <v>0</v>
      </c>
      <c r="E35" s="4" t="e">
        <f>+D35/D36</f>
        <v>#DIV/0!</v>
      </c>
      <c r="H35" s="42"/>
      <c r="I35" s="3" t="s">
        <v>13</v>
      </c>
      <c r="J35" s="1">
        <f>+COUNTIFS('ENTREGA PENDIENTE'!D:D,"&gt;="&amp;INDICADORES!G33,'ENTREGA PENDIENTE'!D:D,"&lt;"&amp;INDICADORES!G34,'ENTREGA PENDIENTE'!K:K,H34,'ENTREGA PENDIENTE'!L:L,I35)</f>
        <v>0</v>
      </c>
      <c r="K35" s="4" t="e">
        <f>+J35/J36</f>
        <v>#DIV/0!</v>
      </c>
    </row>
    <row r="36" spans="1:13">
      <c r="B36" s="38" t="s">
        <v>15</v>
      </c>
      <c r="C36" s="38"/>
      <c r="D36" s="39">
        <f>+SUM(D33:D35)</f>
        <v>0</v>
      </c>
      <c r="E36" s="40"/>
      <c r="H36" s="38" t="s">
        <v>15</v>
      </c>
      <c r="I36" s="38"/>
      <c r="J36" s="39">
        <f>+SUM(J33:J35)</f>
        <v>0</v>
      </c>
      <c r="K36" s="40"/>
    </row>
    <row r="38" spans="1:13">
      <c r="A38" s="36" t="s">
        <v>23</v>
      </c>
      <c r="B38" s="36"/>
      <c r="C38" s="36"/>
      <c r="D38" s="36"/>
      <c r="E38" s="36"/>
      <c r="G38" s="36" t="s">
        <v>29</v>
      </c>
      <c r="H38" s="36"/>
      <c r="I38" s="36"/>
      <c r="J38" s="36"/>
      <c r="K38" s="36"/>
    </row>
    <row r="39" spans="1:13">
      <c r="A39" s="1" t="s">
        <v>17</v>
      </c>
      <c r="B39" s="1" t="s">
        <v>4</v>
      </c>
      <c r="C39" s="1" t="s">
        <v>11</v>
      </c>
      <c r="D39" s="1" t="s">
        <v>10</v>
      </c>
      <c r="E39" s="1" t="s">
        <v>16</v>
      </c>
      <c r="G39" s="1" t="s">
        <v>17</v>
      </c>
      <c r="H39" s="1" t="s">
        <v>4</v>
      </c>
      <c r="I39" s="1" t="s">
        <v>11</v>
      </c>
      <c r="J39" s="1" t="s">
        <v>10</v>
      </c>
      <c r="K39" s="1" t="s">
        <v>16</v>
      </c>
    </row>
    <row r="40" spans="1:13">
      <c r="A40" s="5">
        <v>46174</v>
      </c>
      <c r="B40" s="1" t="s">
        <v>7</v>
      </c>
      <c r="C40" s="1" t="s">
        <v>14</v>
      </c>
      <c r="D40" s="1">
        <f>COUNTIFS('ENTREGA PENDIENTE'!D:D, "&gt;=" &amp; INDICADORES!A40, 'ENTREGA PENDIENTE'!D:D, "&lt;" &amp; INDICADORES!A41,'ENTREGA PENDIENTE'!K:K, INDICADORES!B40)</f>
        <v>0</v>
      </c>
      <c r="E40" s="4" t="e">
        <f>+D40/D43</f>
        <v>#DIV/0!</v>
      </c>
      <c r="G40" s="5">
        <v>46357</v>
      </c>
      <c r="H40" s="1" t="s">
        <v>7</v>
      </c>
      <c r="I40" s="1" t="s">
        <v>14</v>
      </c>
      <c r="J40" s="1">
        <f>COUNTIFS('ENTREGA PENDIENTE'!D:D, "&gt;=" &amp; INDICADORES!G40, 'ENTREGA PENDIENTE'!D:D, "&lt;" &amp; INDICADORES!G41,'ENTREGA PENDIENTE'!K:K, INDICADORES!H40)</f>
        <v>0</v>
      </c>
      <c r="K40" s="4" t="e">
        <f>+J40/J43</f>
        <v>#DIV/0!</v>
      </c>
    </row>
    <row r="41" spans="1:13">
      <c r="A41" s="5">
        <v>46204</v>
      </c>
      <c r="B41" s="41" t="s">
        <v>8</v>
      </c>
      <c r="C41" s="3" t="s">
        <v>12</v>
      </c>
      <c r="D41" s="1">
        <f>COUNTIFS('ENTREGA PENDIENTE'!D:D, "&gt;=" &amp; INDICADORES!A40, 'ENTREGA PENDIENTE'!D:D, "&lt;" &amp; INDICADORES!A41,'ENTREGA PENDIENTE'!K:K, INDICADORES!B41)</f>
        <v>0</v>
      </c>
      <c r="E41" s="4" t="e">
        <f>+D41/D43</f>
        <v>#DIV/0!</v>
      </c>
      <c r="G41" s="5">
        <v>46388</v>
      </c>
      <c r="H41" s="41" t="s">
        <v>8</v>
      </c>
      <c r="I41" s="3" t="s">
        <v>12</v>
      </c>
      <c r="J41" s="1">
        <f>+COUNTIFS('ENTREGA PENDIENTE'!D:D,"&gt;="&amp;INDICADORES!G40,'ENTREGA PENDIENTE'!D:D,"&lt;"&amp;INDICADORES!G41,'ENTREGA PENDIENTE'!K:K,H41,'ENTREGA PENDIENTE'!L:L,INDICADORES!I41)</f>
        <v>0</v>
      </c>
      <c r="K41" s="4" t="e">
        <f>+J41/J43</f>
        <v>#DIV/0!</v>
      </c>
    </row>
    <row r="42" spans="1:13">
      <c r="B42" s="42"/>
      <c r="C42" s="3" t="s">
        <v>13</v>
      </c>
      <c r="D42" s="1">
        <f>+COUNTIFS('ENTREGA PENDIENTE'!D:D,"&gt;="&amp;INDICADORES!A40,'ENTREGA PENDIENTE'!D:D,"&lt;"&amp;INDICADORES!A41,'ENTREGA PENDIENTE'!K:K,B34,'ENTREGA PENDIENTE'!L:L,C35)</f>
        <v>0</v>
      </c>
      <c r="E42" s="4" t="e">
        <f>+D42/D43</f>
        <v>#DIV/0!</v>
      </c>
      <c r="H42" s="42"/>
      <c r="I42" s="3" t="s">
        <v>13</v>
      </c>
      <c r="J42" s="1">
        <f>+COUNTIFS('ENTREGA PENDIENTE'!D:D,"&gt;="&amp;INDICADORES!G40,'ENTREGA PENDIENTE'!D:D,"&lt;"&amp;INDICADORES!G41,'ENTREGA PENDIENTE'!K:K,H41,'ENTREGA PENDIENTE'!L:L,I42)</f>
        <v>0</v>
      </c>
      <c r="K42" s="4" t="e">
        <f>+J42/J43</f>
        <v>#DIV/0!</v>
      </c>
    </row>
    <row r="43" spans="1:13">
      <c r="B43" s="38" t="s">
        <v>15</v>
      </c>
      <c r="C43" s="38"/>
      <c r="D43" s="39">
        <f>+SUM(D40:D42)</f>
        <v>0</v>
      </c>
      <c r="E43" s="40"/>
      <c r="H43" s="38" t="s">
        <v>15</v>
      </c>
      <c r="I43" s="38"/>
      <c r="J43" s="39">
        <f>+SUM(J40:J42)</f>
        <v>0</v>
      </c>
      <c r="K43" s="40"/>
    </row>
    <row r="47" spans="1:13">
      <c r="M47" s="7"/>
    </row>
    <row r="49" spans="13:13">
      <c r="M49" s="7"/>
    </row>
  </sheetData>
  <mergeCells count="52">
    <mergeCell ref="B34:B35"/>
    <mergeCell ref="A3:E3"/>
    <mergeCell ref="A10:E10"/>
    <mergeCell ref="A17:E17"/>
    <mergeCell ref="B15:C15"/>
    <mergeCell ref="B22:C22"/>
    <mergeCell ref="B13:B14"/>
    <mergeCell ref="B20:B21"/>
    <mergeCell ref="B6:B7"/>
    <mergeCell ref="B8:C8"/>
    <mergeCell ref="D8:E8"/>
    <mergeCell ref="B36:C36"/>
    <mergeCell ref="A38:E38"/>
    <mergeCell ref="B41:B42"/>
    <mergeCell ref="B43:C43"/>
    <mergeCell ref="G3:K3"/>
    <mergeCell ref="H6:H7"/>
    <mergeCell ref="H8:I8"/>
    <mergeCell ref="J8:K8"/>
    <mergeCell ref="G10:K10"/>
    <mergeCell ref="H13:H14"/>
    <mergeCell ref="H15:I15"/>
    <mergeCell ref="G17:K17"/>
    <mergeCell ref="H20:H21"/>
    <mergeCell ref="H22:I22"/>
    <mergeCell ref="G24:K24"/>
    <mergeCell ref="H27:H28"/>
    <mergeCell ref="H41:H42"/>
    <mergeCell ref="H43:I43"/>
    <mergeCell ref="D15:E15"/>
    <mergeCell ref="D22:E22"/>
    <mergeCell ref="D29:E29"/>
    <mergeCell ref="D36:E36"/>
    <mergeCell ref="D43:E43"/>
    <mergeCell ref="H29:I29"/>
    <mergeCell ref="G31:K31"/>
    <mergeCell ref="H34:H35"/>
    <mergeCell ref="H36:I36"/>
    <mergeCell ref="G38:K38"/>
    <mergeCell ref="A24:E24"/>
    <mergeCell ref="B27:B28"/>
    <mergeCell ref="B29:C29"/>
    <mergeCell ref="A31:E31"/>
    <mergeCell ref="M3:Q3"/>
    <mergeCell ref="N6:N7"/>
    <mergeCell ref="N8:O8"/>
    <mergeCell ref="P8:Q8"/>
    <mergeCell ref="J43:K43"/>
    <mergeCell ref="J36:K36"/>
    <mergeCell ref="J29:K29"/>
    <mergeCell ref="J22:K22"/>
    <mergeCell ref="J15:K15"/>
  </mergeCells>
  <conditionalFormatting sqref="B5:C5 B6">
    <cfRule type="cellIs" dxfId="103" priority="105" operator="equal">
      <formula>"ATRASADA"</formula>
    </cfRule>
  </conditionalFormatting>
  <conditionalFormatting sqref="B5:C6">
    <cfRule type="cellIs" dxfId="102" priority="103" operator="equal">
      <formula>"CUMPLIDA"</formula>
    </cfRule>
  </conditionalFormatting>
  <conditionalFormatting sqref="B12:C12 B13">
    <cfRule type="cellIs" dxfId="101" priority="96" operator="equal">
      <formula>"ATRASADA"</formula>
    </cfRule>
  </conditionalFormatting>
  <conditionalFormatting sqref="B12:C13">
    <cfRule type="cellIs" dxfId="100" priority="95" operator="equal">
      <formula>"CUMPLIDA"</formula>
    </cfRule>
  </conditionalFormatting>
  <conditionalFormatting sqref="B19:C19 B20">
    <cfRule type="cellIs" dxfId="99" priority="88" operator="equal">
      <formula>"ATRASADA"</formula>
    </cfRule>
  </conditionalFormatting>
  <conditionalFormatting sqref="B19:C20">
    <cfRule type="cellIs" dxfId="98" priority="87" operator="equal">
      <formula>"CUMPLIDA"</formula>
    </cfRule>
  </conditionalFormatting>
  <conditionalFormatting sqref="B26:C26 B27">
    <cfRule type="cellIs" dxfId="97" priority="80" operator="equal">
      <formula>"ATRASADA"</formula>
    </cfRule>
  </conditionalFormatting>
  <conditionalFormatting sqref="B26:C27">
    <cfRule type="cellIs" dxfId="96" priority="79" operator="equal">
      <formula>"CUMPLIDA"</formula>
    </cfRule>
  </conditionalFormatting>
  <conditionalFormatting sqref="B33:C33 B34">
    <cfRule type="cellIs" dxfId="95" priority="72" operator="equal">
      <formula>"ATRASADA"</formula>
    </cfRule>
  </conditionalFormatting>
  <conditionalFormatting sqref="B33:C34">
    <cfRule type="cellIs" dxfId="94" priority="71" operator="equal">
      <formula>"CUMPLIDA"</formula>
    </cfRule>
  </conditionalFormatting>
  <conditionalFormatting sqref="B40:C40 B41">
    <cfRule type="cellIs" dxfId="93" priority="64" operator="equal">
      <formula>"ATRASADA"</formula>
    </cfRule>
  </conditionalFormatting>
  <conditionalFormatting sqref="B40:C41">
    <cfRule type="cellIs" dxfId="92" priority="63" operator="equal">
      <formula>"CUMPLIDA"</formula>
    </cfRule>
  </conditionalFormatting>
  <conditionalFormatting sqref="C6:C7">
    <cfRule type="cellIs" dxfId="91" priority="97" operator="equal">
      <formula>"EXTERNA"</formula>
    </cfRule>
    <cfRule type="cellIs" dxfId="90" priority="98" operator="equal">
      <formula>"INTERNA"</formula>
    </cfRule>
    <cfRule type="cellIs" dxfId="89" priority="99" operator="equal">
      <formula>"ANULADA"</formula>
    </cfRule>
    <cfRule type="cellIs" dxfId="88" priority="100" operator="equal">
      <formula>"ENTREGADO"</formula>
    </cfRule>
    <cfRule type="cellIs" dxfId="87" priority="101" operator="equal">
      <formula>"PENDIENTE"</formula>
    </cfRule>
  </conditionalFormatting>
  <conditionalFormatting sqref="C7">
    <cfRule type="cellIs" dxfId="86" priority="102" operator="equal">
      <formula>"ATRASADA"</formula>
    </cfRule>
  </conditionalFormatting>
  <conditionalFormatting sqref="C13:C14">
    <cfRule type="cellIs" dxfId="85" priority="89" operator="equal">
      <formula>"EXTERNA"</formula>
    </cfRule>
    <cfRule type="cellIs" dxfId="84" priority="90" operator="equal">
      <formula>"INTERNA"</formula>
    </cfRule>
    <cfRule type="cellIs" dxfId="83" priority="91" operator="equal">
      <formula>"ANULADA"</formula>
    </cfRule>
    <cfRule type="cellIs" dxfId="82" priority="92" operator="equal">
      <formula>"ENTREGADO"</formula>
    </cfRule>
    <cfRule type="cellIs" dxfId="81" priority="93" operator="equal">
      <formula>"PENDIENTE"</formula>
    </cfRule>
  </conditionalFormatting>
  <conditionalFormatting sqref="C14">
    <cfRule type="cellIs" dxfId="80" priority="94" operator="equal">
      <formula>"ATRASADA"</formula>
    </cfRule>
  </conditionalFormatting>
  <conditionalFormatting sqref="C20:C21">
    <cfRule type="cellIs" dxfId="79" priority="81" operator="equal">
      <formula>"EXTERNA"</formula>
    </cfRule>
    <cfRule type="cellIs" dxfId="78" priority="82" operator="equal">
      <formula>"INTERNA"</formula>
    </cfRule>
    <cfRule type="cellIs" dxfId="77" priority="83" operator="equal">
      <formula>"ANULADA"</formula>
    </cfRule>
    <cfRule type="cellIs" dxfId="76" priority="84" operator="equal">
      <formula>"ENTREGADO"</formula>
    </cfRule>
    <cfRule type="cellIs" dxfId="75" priority="85" operator="equal">
      <formula>"PENDIENTE"</formula>
    </cfRule>
  </conditionalFormatting>
  <conditionalFormatting sqref="C21">
    <cfRule type="cellIs" dxfId="74" priority="86" operator="equal">
      <formula>"ATRASADA"</formula>
    </cfRule>
  </conditionalFormatting>
  <conditionalFormatting sqref="C27:C28">
    <cfRule type="cellIs" dxfId="73" priority="73" operator="equal">
      <formula>"EXTERNA"</formula>
    </cfRule>
    <cfRule type="cellIs" dxfId="72" priority="74" operator="equal">
      <formula>"INTERNA"</formula>
    </cfRule>
    <cfRule type="cellIs" dxfId="71" priority="75" operator="equal">
      <formula>"ANULADA"</formula>
    </cfRule>
    <cfRule type="cellIs" dxfId="70" priority="76" operator="equal">
      <formula>"ENTREGADO"</formula>
    </cfRule>
    <cfRule type="cellIs" dxfId="69" priority="77" operator="equal">
      <formula>"PENDIENTE"</formula>
    </cfRule>
  </conditionalFormatting>
  <conditionalFormatting sqref="C28">
    <cfRule type="cellIs" dxfId="68" priority="78" operator="equal">
      <formula>"ATRASADA"</formula>
    </cfRule>
  </conditionalFormatting>
  <conditionalFormatting sqref="C34:C35">
    <cfRule type="cellIs" dxfId="67" priority="65" operator="equal">
      <formula>"EXTERNA"</formula>
    </cfRule>
    <cfRule type="cellIs" dxfId="66" priority="66" operator="equal">
      <formula>"INTERNA"</formula>
    </cfRule>
    <cfRule type="cellIs" dxfId="65" priority="67" operator="equal">
      <formula>"ANULADA"</formula>
    </cfRule>
    <cfRule type="cellIs" dxfId="64" priority="68" operator="equal">
      <formula>"ENTREGADO"</formula>
    </cfRule>
    <cfRule type="cellIs" dxfId="63" priority="69" operator="equal">
      <formula>"PENDIENTE"</formula>
    </cfRule>
  </conditionalFormatting>
  <conditionalFormatting sqref="C35">
    <cfRule type="cellIs" dxfId="62" priority="70" operator="equal">
      <formula>"ATRASADA"</formula>
    </cfRule>
  </conditionalFormatting>
  <conditionalFormatting sqref="C41:C42">
    <cfRule type="cellIs" dxfId="61" priority="57" operator="equal">
      <formula>"EXTERNA"</formula>
    </cfRule>
    <cfRule type="cellIs" dxfId="60" priority="58" operator="equal">
      <formula>"INTERNA"</formula>
    </cfRule>
    <cfRule type="cellIs" dxfId="59" priority="59" operator="equal">
      <formula>"ANULADA"</formula>
    </cfRule>
    <cfRule type="cellIs" dxfId="58" priority="60" operator="equal">
      <formula>"ENTREGADO"</formula>
    </cfRule>
    <cfRule type="cellIs" dxfId="57" priority="61" operator="equal">
      <formula>"PENDIENTE"</formula>
    </cfRule>
  </conditionalFormatting>
  <conditionalFormatting sqref="C42">
    <cfRule type="cellIs" dxfId="56" priority="62" operator="equal">
      <formula>"ATRASADA"</formula>
    </cfRule>
  </conditionalFormatting>
  <conditionalFormatting sqref="H5:I5 H6">
    <cfRule type="cellIs" dxfId="55" priority="56" operator="equal">
      <formula>"ATRASADA"</formula>
    </cfRule>
  </conditionalFormatting>
  <conditionalFormatting sqref="H5:I6">
    <cfRule type="cellIs" dxfId="54" priority="55" operator="equal">
      <formula>"CUMPLIDA"</formula>
    </cfRule>
  </conditionalFormatting>
  <conditionalFormatting sqref="H12:I12 H13">
    <cfRule type="cellIs" dxfId="53" priority="48" operator="equal">
      <formula>"ATRASADA"</formula>
    </cfRule>
  </conditionalFormatting>
  <conditionalFormatting sqref="H12:I13">
    <cfRule type="cellIs" dxfId="52" priority="47" operator="equal">
      <formula>"CUMPLIDA"</formula>
    </cfRule>
  </conditionalFormatting>
  <conditionalFormatting sqref="H19:I19 H20">
    <cfRule type="cellIs" dxfId="51" priority="40" operator="equal">
      <formula>"ATRASADA"</formula>
    </cfRule>
  </conditionalFormatting>
  <conditionalFormatting sqref="H19:I20">
    <cfRule type="cellIs" dxfId="50" priority="39" operator="equal">
      <formula>"CUMPLIDA"</formula>
    </cfRule>
  </conditionalFormatting>
  <conditionalFormatting sqref="H26:I26 H27">
    <cfRule type="cellIs" dxfId="49" priority="32" operator="equal">
      <formula>"ATRASADA"</formula>
    </cfRule>
  </conditionalFormatting>
  <conditionalFormatting sqref="H26:I27">
    <cfRule type="cellIs" dxfId="48" priority="31" operator="equal">
      <formula>"CUMPLIDA"</formula>
    </cfRule>
  </conditionalFormatting>
  <conditionalFormatting sqref="H33:I33 H34">
    <cfRule type="cellIs" dxfId="47" priority="24" operator="equal">
      <formula>"ATRASADA"</formula>
    </cfRule>
  </conditionalFormatting>
  <conditionalFormatting sqref="H33:I34">
    <cfRule type="cellIs" dxfId="46" priority="23" operator="equal">
      <formula>"CUMPLIDA"</formula>
    </cfRule>
  </conditionalFormatting>
  <conditionalFormatting sqref="H40:I40 H41">
    <cfRule type="cellIs" dxfId="45" priority="16" operator="equal">
      <formula>"ATRASADA"</formula>
    </cfRule>
  </conditionalFormatting>
  <conditionalFormatting sqref="H40:I41">
    <cfRule type="cellIs" dxfId="44" priority="15" operator="equal">
      <formula>"CUMPLIDA"</formula>
    </cfRule>
  </conditionalFormatting>
  <conditionalFormatting sqref="I6:I7">
    <cfRule type="cellIs" dxfId="43" priority="49" operator="equal">
      <formula>"EXTERNA"</formula>
    </cfRule>
    <cfRule type="cellIs" dxfId="42" priority="50" operator="equal">
      <formula>"INTERNA"</formula>
    </cfRule>
    <cfRule type="cellIs" dxfId="41" priority="51" operator="equal">
      <formula>"ANULADA"</formula>
    </cfRule>
    <cfRule type="cellIs" dxfId="40" priority="52" operator="equal">
      <formula>"ENTREGADO"</formula>
    </cfRule>
    <cfRule type="cellIs" dxfId="39" priority="53" operator="equal">
      <formula>"PENDIENTE"</formula>
    </cfRule>
  </conditionalFormatting>
  <conditionalFormatting sqref="I7">
    <cfRule type="cellIs" dxfId="38" priority="54" operator="equal">
      <formula>"ATRASADA"</formula>
    </cfRule>
  </conditionalFormatting>
  <conditionalFormatting sqref="I13:I14">
    <cfRule type="cellIs" dxfId="37" priority="41" operator="equal">
      <formula>"EXTERNA"</formula>
    </cfRule>
    <cfRule type="cellIs" dxfId="36" priority="42" operator="equal">
      <formula>"INTERNA"</formula>
    </cfRule>
    <cfRule type="cellIs" dxfId="35" priority="43" operator="equal">
      <formula>"ANULADA"</formula>
    </cfRule>
    <cfRule type="cellIs" dxfId="34" priority="44" operator="equal">
      <formula>"ENTREGADO"</formula>
    </cfRule>
    <cfRule type="cellIs" dxfId="33" priority="45" operator="equal">
      <formula>"PENDIENTE"</formula>
    </cfRule>
  </conditionalFormatting>
  <conditionalFormatting sqref="I14">
    <cfRule type="cellIs" dxfId="32" priority="46" operator="equal">
      <formula>"ATRASADA"</formula>
    </cfRule>
  </conditionalFormatting>
  <conditionalFormatting sqref="I20:I21">
    <cfRule type="cellIs" dxfId="31" priority="33" operator="equal">
      <formula>"EXTERNA"</formula>
    </cfRule>
    <cfRule type="cellIs" dxfId="30" priority="34" operator="equal">
      <formula>"INTERNA"</formula>
    </cfRule>
    <cfRule type="cellIs" dxfId="29" priority="35" operator="equal">
      <formula>"ANULADA"</formula>
    </cfRule>
    <cfRule type="cellIs" dxfId="28" priority="36" operator="equal">
      <formula>"ENTREGADO"</formula>
    </cfRule>
    <cfRule type="cellIs" dxfId="27" priority="37" operator="equal">
      <formula>"PENDIENTE"</formula>
    </cfRule>
  </conditionalFormatting>
  <conditionalFormatting sqref="I21">
    <cfRule type="cellIs" dxfId="26" priority="38" operator="equal">
      <formula>"ATRASADA"</formula>
    </cfRule>
  </conditionalFormatting>
  <conditionalFormatting sqref="I27:I28">
    <cfRule type="cellIs" dxfId="25" priority="25" operator="equal">
      <formula>"EXTERNA"</formula>
    </cfRule>
    <cfRule type="cellIs" dxfId="24" priority="26" operator="equal">
      <formula>"INTERNA"</formula>
    </cfRule>
    <cfRule type="cellIs" dxfId="23" priority="27" operator="equal">
      <formula>"ANULADA"</formula>
    </cfRule>
    <cfRule type="cellIs" dxfId="22" priority="28" operator="equal">
      <formula>"ENTREGADO"</formula>
    </cfRule>
    <cfRule type="cellIs" dxfId="21" priority="29" operator="equal">
      <formula>"PENDIENTE"</formula>
    </cfRule>
  </conditionalFormatting>
  <conditionalFormatting sqref="I28">
    <cfRule type="cellIs" dxfId="20" priority="30" operator="equal">
      <formula>"ATRASADA"</formula>
    </cfRule>
  </conditionalFormatting>
  <conditionalFormatting sqref="I34:I35">
    <cfRule type="cellIs" dxfId="19" priority="17" operator="equal">
      <formula>"EXTERNA"</formula>
    </cfRule>
    <cfRule type="cellIs" dxfId="18" priority="18" operator="equal">
      <formula>"INTERNA"</formula>
    </cfRule>
    <cfRule type="cellIs" dxfId="17" priority="19" operator="equal">
      <formula>"ANULADA"</formula>
    </cfRule>
    <cfRule type="cellIs" dxfId="16" priority="20" operator="equal">
      <formula>"ENTREGADO"</formula>
    </cfRule>
    <cfRule type="cellIs" dxfId="15" priority="21" operator="equal">
      <formula>"PENDIENTE"</formula>
    </cfRule>
  </conditionalFormatting>
  <conditionalFormatting sqref="I35">
    <cfRule type="cellIs" dxfId="14" priority="22" operator="equal">
      <formula>"ATRASADA"</formula>
    </cfRule>
  </conditionalFormatting>
  <conditionalFormatting sqref="I41:I42">
    <cfRule type="cellIs" dxfId="13" priority="9" operator="equal">
      <formula>"EXTERNA"</formula>
    </cfRule>
    <cfRule type="cellIs" dxfId="12" priority="10" operator="equal">
      <formula>"INTERNA"</formula>
    </cfRule>
    <cfRule type="cellIs" dxfId="11" priority="11" operator="equal">
      <formula>"ANULADA"</formula>
    </cfRule>
    <cfRule type="cellIs" dxfId="10" priority="12" operator="equal">
      <formula>"ENTREGADO"</formula>
    </cfRule>
    <cfRule type="cellIs" dxfId="9" priority="13" operator="equal">
      <formula>"PENDIENTE"</formula>
    </cfRule>
  </conditionalFormatting>
  <conditionalFormatting sqref="I42">
    <cfRule type="cellIs" dxfId="8" priority="14" operator="equal">
      <formula>"ATRASADA"</formula>
    </cfRule>
  </conditionalFormatting>
  <conditionalFormatting sqref="N5:O5 N6">
    <cfRule type="cellIs" dxfId="7" priority="8" operator="equal">
      <formula>"ATRASADA"</formula>
    </cfRule>
  </conditionalFormatting>
  <conditionalFormatting sqref="N5:O6">
    <cfRule type="cellIs" dxfId="6" priority="7" operator="equal">
      <formula>"CUMPLIDA"</formula>
    </cfRule>
  </conditionalFormatting>
  <conditionalFormatting sqref="O6:O7">
    <cfRule type="cellIs" dxfId="5" priority="1" operator="equal">
      <formula>"EXTERNA"</formula>
    </cfRule>
    <cfRule type="cellIs" dxfId="4" priority="2" operator="equal">
      <formula>"INTERNA"</formula>
    </cfRule>
    <cfRule type="cellIs" dxfId="3" priority="3" operator="equal">
      <formula>"ANULADA"</formula>
    </cfRule>
    <cfRule type="cellIs" dxfId="2" priority="4" operator="equal">
      <formula>"ENTREGADO"</formula>
    </cfRule>
    <cfRule type="cellIs" dxfId="1" priority="5" operator="equal">
      <formula>"PENDIENTE"</formula>
    </cfRule>
  </conditionalFormatting>
  <conditionalFormatting sqref="O7">
    <cfRule type="cellIs" dxfId="0" priority="6" operator="equal">
      <formula>"ATRASADA"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741C39F-4C0B-4C5B-A7DA-324B9FBA45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ENTREGA PENDIENTE</vt:lpstr>
      <vt:lpstr>SEGUIMIENTO DE SOLICITUDES</vt:lpstr>
      <vt:lpstr>INDICADORES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2022-07-28T16:52:42Z</dcterms:created>
  <dcterms:modified xsi:type="dcterms:W3CDTF">2026-08-20T11:13:30Z</dcterms:modified>
</cp:coreProperties>
</file>