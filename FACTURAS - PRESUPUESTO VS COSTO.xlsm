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Comercial\COMPRAS\8 - INDICADORES\3 - ANÁLISIS DE COSTOS\"/>
    </mc:Choice>
  </mc:AlternateContent>
  <xr:revisionPtr revIDLastSave="0" documentId="13_ncr:1_{52FDA25E-414E-4C44-90ED-E9EB71AB710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acturas" sheetId="5" r:id="rId1"/>
    <sheet name="Presupuesto vs Costo" sheetId="6" r:id="rId2"/>
    <sheet name="Cotizacion USD" sheetId="7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_xlnm._FilterDatabase" localSheetId="0" hidden="1">Facturas!$A$1:$G$2583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6" l="1"/>
  <c r="C39" i="6"/>
  <c r="D38" i="6" l="1"/>
  <c r="C38" i="6"/>
  <c r="E39" i="6" l="1"/>
  <c r="F39" i="6"/>
  <c r="G39" i="6"/>
  <c r="E38" i="6"/>
  <c r="F38" i="6"/>
  <c r="G38" i="6"/>
  <c r="D37" i="6"/>
  <c r="C37" i="6"/>
  <c r="E37" i="6" l="1"/>
  <c r="F37" i="6"/>
  <c r="G37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D36" i="6"/>
  <c r="C36" i="6"/>
  <c r="E36" i="6" l="1"/>
  <c r="E35" i="6"/>
  <c r="D33" i="6"/>
  <c r="C33" i="6"/>
  <c r="E33" i="6" l="1"/>
  <c r="D34" i="6"/>
  <c r="C34" i="6"/>
  <c r="E34" i="6" l="1"/>
  <c r="C32" i="6"/>
  <c r="E32" i="6" s="1"/>
  <c r="C31" i="6" l="1"/>
  <c r="E31" i="6" s="1"/>
  <c r="D30" i="6" l="1"/>
  <c r="C30" i="6"/>
  <c r="E30" i="6" l="1"/>
  <c r="D29" i="6"/>
  <c r="C29" i="6"/>
  <c r="D28" i="6" l="1"/>
  <c r="C28" i="6"/>
  <c r="E28" i="6" l="1"/>
  <c r="E29" i="6"/>
  <c r="C17" i="6"/>
  <c r="D17" i="6" l="1"/>
  <c r="D16" i="6" l="1"/>
  <c r="C16" i="6"/>
  <c r="D15" i="6" l="1"/>
  <c r="C15" i="6"/>
  <c r="D14" i="6" l="1"/>
  <c r="C14" i="6"/>
  <c r="D13" i="6" l="1"/>
  <c r="C13" i="6"/>
  <c r="D12" i="6" l="1"/>
  <c r="C12" i="6"/>
  <c r="C11" i="6" l="1"/>
  <c r="D10" i="6" l="1"/>
  <c r="C10" i="6"/>
  <c r="D9" i="6" l="1"/>
  <c r="C9" i="6"/>
  <c r="D8" i="6" l="1"/>
  <c r="C8" i="6"/>
  <c r="D7" i="6" l="1"/>
  <c r="C7" i="6"/>
  <c r="D6" i="6" l="1"/>
  <c r="C6" i="6"/>
  <c r="D5" i="6" l="1"/>
  <c r="C5" i="6"/>
  <c r="D4" i="6" l="1"/>
  <c r="C4" i="6"/>
  <c r="D3" i="6" l="1"/>
  <c r="C3" i="6"/>
  <c r="D2" i="6" l="1"/>
  <c r="C2" i="6"/>
  <c r="E2" i="6" l="1"/>
  <c r="D27" i="6"/>
  <c r="C27" i="6"/>
  <c r="D26" i="6"/>
  <c r="C26" i="6"/>
  <c r="C25" i="6"/>
  <c r="E25" i="6" s="1"/>
  <c r="D24" i="6"/>
  <c r="C24" i="6"/>
  <c r="D23" i="6"/>
  <c r="C23" i="6"/>
  <c r="C22" i="6"/>
  <c r="E22" i="6" s="1"/>
  <c r="C21" i="6"/>
  <c r="E21" i="6" s="1"/>
  <c r="D20" i="6"/>
  <c r="C20" i="6"/>
  <c r="D19" i="6"/>
  <c r="C19" i="6"/>
  <c r="C18" i="6"/>
  <c r="E18" i="6" s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4" i="6" l="1"/>
  <c r="E27" i="6"/>
  <c r="E20" i="6"/>
  <c r="E19" i="6"/>
  <c r="E23" i="6"/>
  <c r="E26" i="6"/>
</calcChain>
</file>

<file path=xl/sharedStrings.xml><?xml version="1.0" encoding="utf-8"?>
<sst xmlns="http://schemas.openxmlformats.org/spreadsheetml/2006/main" count="12939" uniqueCount="2484">
  <si>
    <t>Proveedor</t>
  </si>
  <si>
    <t>Tipo de Comprobante</t>
  </si>
  <si>
    <t>Fecha</t>
  </si>
  <si>
    <t>Comprobante</t>
  </si>
  <si>
    <t>Artic.-Conc.</t>
  </si>
  <si>
    <t>Centro de Costo</t>
  </si>
  <si>
    <t>CASINO CLUB S-2025.052_Proy+15</t>
  </si>
  <si>
    <t>HAPSA S-2025.002_RIyM-TE</t>
  </si>
  <si>
    <t>CAGNOLI S-2025.076_T.TG008</t>
  </si>
  <si>
    <t>TER S-2024.073_TPPZ</t>
  </si>
  <si>
    <t>ANB S-2024.088_AlimSM1</t>
  </si>
  <si>
    <t>SAN LORENZO S-2025.008 ITr13.2</t>
  </si>
  <si>
    <t>ANB S-2025.017_CoTG1.E2</t>
  </si>
  <si>
    <t>INI S-2025.100 HVAC</t>
  </si>
  <si>
    <t>CASINO CLUB S-2025.089_Berr</t>
  </si>
  <si>
    <t>TER S-2025.010_TSNav</t>
  </si>
  <si>
    <t>CASINO CLUB S-2024.069 +7 S/PR</t>
  </si>
  <si>
    <t>HAPSA S-2025.082_RefCocRab</t>
  </si>
  <si>
    <t>LOMA NEGRA S-2024.083 T. Dist</t>
  </si>
  <si>
    <t>ABB S-2025.080 _TTAPCOM</t>
  </si>
  <si>
    <t>ABB S-2025.006_TSSh45</t>
  </si>
  <si>
    <t>TERNIUM S-2025.041_T-TDA-C</t>
  </si>
  <si>
    <t>CAGNOLI S-2025.040_CCM-D</t>
  </si>
  <si>
    <t>ORMAZABAL S-2025.081</t>
  </si>
  <si>
    <t>INI S-2025.107</t>
  </si>
  <si>
    <t>INI S-2025.101 VENTILACION</t>
  </si>
  <si>
    <t>ABB S-2025.083_RAC.COMM</t>
  </si>
  <si>
    <t>BIN BAIRES S-2025.011_RecUPS</t>
  </si>
  <si>
    <t>Importe Neto</t>
  </si>
  <si>
    <t>Presupuesto</t>
  </si>
  <si>
    <t>HLADAN S-2025.111_Can HVAC+20</t>
  </si>
  <si>
    <t>RDC S-2025.106_288629</t>
  </si>
  <si>
    <t>Ubicación Presupuesto</t>
  </si>
  <si>
    <t>TER S-2025.116</t>
  </si>
  <si>
    <t>H:\Ingenieria 2.0\Cagnoli\S-2025.076_T.TG008\1_Presupuesto\1_4_Lista de materiales\Materiales_rev9.xlsm</t>
  </si>
  <si>
    <t>H:\Ingenieria 2.0\Ecocontrol\S-2025.100_T.HVAC.An\1_Presupuesto\1_4_Lista de materiales\S-2025.100_T.HVAC.An-LM_3.xlsm</t>
  </si>
  <si>
    <t>USD</t>
  </si>
  <si>
    <t>H:\Ingenieria 2.0\ABB\S-2025.029_Sh.PTC\2_Diseño y Desarrollo\2_4_Lista de materiales\Cambios en Tableros\S-2025.029-SH PTC LAJE-Costo Real Tablero-00.xlsm &amp; H:\Ingenieria 2.0\ABB\S-2025.029_Sh.PTC\1_Presupuesto\1_4_Lista de materiales\Materiales - SH PTC LAJE_rev5.xlsm</t>
  </si>
  <si>
    <t>H:\Ingenieria 2.0\ABB\S-2025.080_T.TAPCOM\1_Presupuesto\1_4_Lista de materiales\Materiales_rev7.xlsm</t>
  </si>
  <si>
    <t>H:\Ingenieria 2.0\ORMAZABAL\S-2025.081_TCeISC\1_Presupuesto\1_4_Lista de materiales\S-2025.081-TCelSC-LM_01.xlsm</t>
  </si>
  <si>
    <t>H:\Ingenieria 2.0\Ecocontrol\S-2025.101_T.VentVar\1_Presupuesto\1_4_Lista de materiales\S-2025.101_T.VentVar-LM_01.xlsm</t>
  </si>
  <si>
    <t>H:\Ingenieria 2.0\Ecocontrol\S-2025.107_T.HVAC.All\1_Presupuesto\1_4_Lista de materiales\S-2025.107_T.HVAC.All-LM_00.xlsm</t>
  </si>
  <si>
    <t>H:\Ingenieria 2.0\ABB\S-2025.083_RacComm\1_Presupuesto\1_4_Lista de materiales\S-2025.083-RacComm-LM_02.xlsm</t>
  </si>
  <si>
    <t>H:\Ingenieria 2.0\HLADAN\S-2025.111_CanHVAC+20\1_Presupuesto\1_4_Lista de materiales\S-2025.111_CanHVAC+20-LM_3.xlsm</t>
  </si>
  <si>
    <t>Importe</t>
  </si>
  <si>
    <t>H:\Ingenieria 2.0\Refineria del Centro (RDC)\S-2025.106_TE-NuEnv\1_Presupuesto\1_4_Lista de materiales\S-2025.106_TE-NuEnv-LM_6.xlsm</t>
  </si>
  <si>
    <t>Costo</t>
  </si>
  <si>
    <t>H:\Ingenieria 2.0\Casino Club\S-2025.052_Proy+15\1_Presupuesto\1_4_Lista de materiales\Materiales_rev2.xlsm</t>
  </si>
  <si>
    <t>H:\Ingenieria 2.0\HAPSA\S-2025.002_RIyM-TE\1_Presupuesto\1_4_Lista de materiales\Materiales_rev2.xlsm</t>
  </si>
  <si>
    <t>H:\Ingenieria 2.0\TERNIUM\S-2024.073_TPPZ\1_Presupuesto\1_4_Lista de materiales\Materiales internos y gabinetes pvc rev_2.xlsm</t>
  </si>
  <si>
    <t>H:\Ingenieria 2.0\Azul Natural Beef\S-2024.088_AlimSM1\1_Presupuesto\1_4_Lista de materiales\Materiales - rev2.xlsm</t>
  </si>
  <si>
    <t>H:\Ingenieria 2.0\Cerámica San Lorenzo\S-2025.008_ITr13.2\1_Presupuesto\1_4_Lista de materiales\Materiales_rev4.xlsm</t>
  </si>
  <si>
    <t>H:\Ingenieria 2.0\Azul Natural Beef\S-2025.017_CoTG1.E2\1_Presupuesto\1_4_Lista de materiales\Materiales CoTG1.E2_rev3.xlsm</t>
  </si>
  <si>
    <t>H:\Ingenieria 2.0\Casino Club\S-2025.089_Berr2025\1_Presupuesto\1_4_Lista de materiales\S-2025.089_Berr2025-LM_03.xlsm</t>
  </si>
  <si>
    <t>H:\Ingenieria 2.0\TERNIUM\S-2025.010_TSNav\1_Presupuesto\1_4_Lista de materiales\Materiales_rev2.1.xlsm</t>
  </si>
  <si>
    <t>H:\Ingenieria 2.0\Casino Club\S-2024.069_Hall+7\1_Presupuesto\1_4_Lista de materiales\Lista de Materiales Hall+7_rev3.xlsm</t>
  </si>
  <si>
    <t>H:\Ingenieria 2.0\HAPSA\S-2025.082_RefCocRab\1_Presupuesto\1_4_Lista de materiales\S-2025.082_RefCocRab-LM_08.xlsm</t>
  </si>
  <si>
    <t>H:\Ingenieria 2.0\Loma Negra\S-2024.083_T.Dist\1_Presupuesto\1_4_Lista de materiales\Lista de materiales_rev4.xlsm</t>
  </si>
  <si>
    <t>H:\Ingenieria 2.0\ABB\S-2025.006_TSSh45\1_Presupuesto\1_4_Lista de materiales\Materiales_rev2.xlsm</t>
  </si>
  <si>
    <t>H:\Ingenieria 2.0\TERNIUM\S-2025.041_T-TDA-C\1_Presupuesto\1_4_Lista de materiales\TDA-C calorímetros - rev3.xlsm</t>
  </si>
  <si>
    <t>H:\Ingenieria 2.0\Cagnoli\S-2025.040_CCM-D\1_Presupuesto\1_4_Lista de materiales\Lista de materiales CCM-D_rev2 INTECH.xlsm</t>
  </si>
  <si>
    <t>H:\Ingenieria 2.0\BinBaires\S-2025.011_RecUPS\1_Presupuesto\1_4_Lista de materiales\Lista materiales Rev2.xlsm</t>
  </si>
  <si>
    <t>H:\Ingenieria 2.0\TERNIUM\S-2025.116_TT.Inox\1_Presupuesto\1_4_Lista de materiales\S-2025.116_TT.Inox-LM_01.xlsm</t>
  </si>
  <si>
    <t>S-2025.114_Ref+7+11</t>
  </si>
  <si>
    <t>S-2026.016_TGBT-Env</t>
  </si>
  <si>
    <t>T.REU S-2025.104_TES-CamPC</t>
  </si>
  <si>
    <t>H:\Ingenieria 2.0\TECNICAS REUNIDAS\S-2025.104_TES-CamPC\1_Presupuesto\1_4_Lista de materiales\S-2025.104_TES-CamPC-LM_07.xlsm</t>
  </si>
  <si>
    <t>H:\Ingenieria 2.0\Casino Club\S-2025.114_Ref+7+11\1_Presupuesto\1_4_Lista de materiales\Casino Club S-2025.114_Ref+7+11-LM_2.xlsm</t>
  </si>
  <si>
    <t>H:\Ingenieria 2.0\Refineria del Centro (RDC)\S-2026.016_TGBT-Env\1_Presupuesto\1_4_Lista de materiales\S-2026.016_TGBT-Env-LM_01.xlsm</t>
  </si>
  <si>
    <t>9 de Julio S-2026.039_InHonVMO</t>
  </si>
  <si>
    <t>60% de PR 10917</t>
  </si>
  <si>
    <t>Compra</t>
  </si>
  <si>
    <t>Venta</t>
  </si>
  <si>
    <t>Promedio</t>
  </si>
  <si>
    <t>Cotizacion USD</t>
  </si>
  <si>
    <t>Importe USD</t>
  </si>
  <si>
    <t>Costo en USD</t>
  </si>
  <si>
    <t>Casino Club S-2026.040_HVAC+7</t>
  </si>
  <si>
    <t>H:\Ingenieria 2.0\AESA\S-2026.046_AESA-VMOS\1_Presupuesto\1_4_Lista de materiales\S-2026.046_AESA-VMOS_SCHNEIDER-LM_02.xlsm</t>
  </si>
  <si>
    <t>H:\Ingenieria 2.0\Casino Club\S-2026.040_HVAC+7\1_Presupuesto\1_4_Lista de materiales\S-2026.040_HVAC+7-LM_8.xlsm</t>
  </si>
  <si>
    <t>H:\Ingenieria 2.0\Industrias 9 de Julio\S-2026.051_TSSAA-OTASA\1_Presupuesto\1_4_Lista de materiales\Nuevo Hoja de cálculo de Microsoft Excel.xlsx</t>
  </si>
  <si>
    <t>AFIP ADMIN. FED. ING.PUBLICOS- ADUANA</t>
  </si>
  <si>
    <t>Factura (Con Remito Asociado)</t>
  </si>
  <si>
    <t>FC A 01993-00171290</t>
  </si>
  <si>
    <t> GASTOS DE IMPORTACION NG </t>
  </si>
  <si>
    <t>Importaciones-Gastos</t>
  </si>
  <si>
    <t> IVA CF IMPORTACIONES 10,50% </t>
  </si>
  <si>
    <t>ALONSO CONSTANTINO RAUL</t>
  </si>
  <si>
    <t>Factura (Sin Remito Asociado)</t>
  </si>
  <si>
    <t>FCR A 00064-00025294</t>
  </si>
  <si>
    <t> COMBUSTIBLES Y LUBRICANTES AL 21% </t>
  </si>
  <si>
    <t>Combustible</t>
  </si>
  <si>
    <t> COMBUSTIBLES Y LUBRICANTES NG </t>
  </si>
  <si>
    <t>FCR A 00064-00022614</t>
  </si>
  <si>
    <t>FCR A 00064-00024772</t>
  </si>
  <si>
    <t>ARBA PATENTES</t>
  </si>
  <si>
    <t>Rendicion 1</t>
  </si>
  <si>
    <t>R1    -00002025</t>
  </si>
  <si>
    <t> PATENTE </t>
  </si>
  <si>
    <t>Toyota Hilux</t>
  </si>
  <si>
    <t>ARCE ITURRIETA FRANCISCO</t>
  </si>
  <si>
    <t>FCR C 00001-00000128</t>
  </si>
  <si>
    <t> SERVICIOS DE TERCEROS NG </t>
  </si>
  <si>
    <t>ALB OC 1522 CosFi,  T.Agu, Cel</t>
  </si>
  <si>
    <t>ALB OC 5986  Comp. e Ilum OMS</t>
  </si>
  <si>
    <t>ALB PR 0720 Ag.Esm, KEDA,OMS</t>
  </si>
  <si>
    <t>ASOCIACION DE PROPIETARIOS DEL PARQUE IN</t>
  </si>
  <si>
    <t>FCR C 00003-00012114</t>
  </si>
  <si>
    <t> CUOTA SOCIAL NG </t>
  </si>
  <si>
    <t>INFRAESTRUCTURA SILICOM</t>
  </si>
  <si>
    <t>FCR C 00003-00011902</t>
  </si>
  <si>
    <t>FCR C 00003-00012008</t>
  </si>
  <si>
    <t>AUTOPISTA DEL SOL SA</t>
  </si>
  <si>
    <t>FCR A 00711-06629281</t>
  </si>
  <si>
    <t> PEAJE AL 21% </t>
  </si>
  <si>
    <t>Peaje</t>
  </si>
  <si>
    <t>FCR A 00711-06858043</t>
  </si>
  <si>
    <t>MOVILIDAD-SILICOM</t>
  </si>
  <si>
    <t>FCR A 00711-06982739</t>
  </si>
  <si>
    <t>FCR A 00711-06742281</t>
  </si>
  <si>
    <t>FCR A 00711-06684250</t>
  </si>
  <si>
    <t>FCR A 00711-06798871</t>
  </si>
  <si>
    <t>FCR A 00711-06918558</t>
  </si>
  <si>
    <t>AUTOPISTAS DE BUENOS AIRES S.A</t>
  </si>
  <si>
    <t>FCR A 00050-04164026</t>
  </si>
  <si>
    <t>AUTOPISTAS URBANAS SA</t>
  </si>
  <si>
    <t>FCR A 05016-00756471</t>
  </si>
  <si>
    <t> PEAJE NG </t>
  </si>
  <si>
    <t>FCR A 05016-00789356</t>
  </si>
  <si>
    <t>FCR A 05016-00805080</t>
  </si>
  <si>
    <t>FCR A 05016-00773151</t>
  </si>
  <si>
    <t>FCR A 05016-00837109</t>
  </si>
  <si>
    <t>B Y C INFRAESTRUCTURA Y CONSTRUCCIONES S</t>
  </si>
  <si>
    <t>FCR A 00010-00007267</t>
  </si>
  <si>
    <t> COMPRA MATERIALES E INSUMOS AL 10.5% </t>
  </si>
  <si>
    <t>Materiales STOCK</t>
  </si>
  <si>
    <t> COMPRA MATERIALES E INSUMOS AL 21% </t>
  </si>
  <si>
    <t>FCR A 00010-00007105</t>
  </si>
  <si>
    <t> INDUMENTARIA Y ELEM. SEGURIDAD AL 21% </t>
  </si>
  <si>
    <t>Indumentaria y EPP</t>
  </si>
  <si>
    <t>FCR A 00010-00007335</t>
  </si>
  <si>
    <t>FCR A 00010-00006974</t>
  </si>
  <si>
    <t>Gastos TALLER SILICOM</t>
  </si>
  <si>
    <t>FCR A 00008-00065727</t>
  </si>
  <si>
    <t>BCO SANTANDER- PRESTAMO 797802</t>
  </si>
  <si>
    <t>Gastos Bancarios</t>
  </si>
  <si>
    <t>RB    -08012025</t>
  </si>
  <si>
    <t> ** NO USAR -IMPUESTOS INTERNOS </t>
  </si>
  <si>
    <t> INTERESES PAGADOS AL 10.5% </t>
  </si>
  <si>
    <t>BERKLEY INTERNATIONAL SEGUROS S.A.</t>
  </si>
  <si>
    <t>FCR A 00006-00158824</t>
  </si>
  <si>
    <t> INTERESES PAGADOS NG </t>
  </si>
  <si>
    <t> SEGUROS AL 21% </t>
  </si>
  <si>
    <t> SEGUROS NG </t>
  </si>
  <si>
    <t>BERRIA ENERGIA SA</t>
  </si>
  <si>
    <t>FCR A 00006-00018627</t>
  </si>
  <si>
    <t>BIONDI BORIS ELBIO</t>
  </si>
  <si>
    <t>R1    -28022025</t>
  </si>
  <si>
    <t> AUTONOMOS GABRIEL NG </t>
  </si>
  <si>
    <t>Impuesto Autonomo</t>
  </si>
  <si>
    <t>R1    -31012025</t>
  </si>
  <si>
    <t>BRANA HERMANOS SA</t>
  </si>
  <si>
    <t>FCR A 00013-00092967</t>
  </si>
  <si>
    <t>S-2024.029 PROY SS</t>
  </si>
  <si>
    <t>FCR A 00013-00093040</t>
  </si>
  <si>
    <t>FCR A 00013-00093853</t>
  </si>
  <si>
    <t>FCR A 00013-00093857</t>
  </si>
  <si>
    <t>FCR A 00013-00094042</t>
  </si>
  <si>
    <t>FCR A 00013-00094097</t>
  </si>
  <si>
    <t>FCR A 00013-00093623</t>
  </si>
  <si>
    <t>Bco. Credicoop Cta Cte 230-0046719</t>
  </si>
  <si>
    <t>RB    -21032025</t>
  </si>
  <si>
    <t> DEBITOS BANCARIOS 21% </t>
  </si>
  <si>
    <t>Bco. Santander Rio cta cte173-000045726</t>
  </si>
  <si>
    <t>RB    -25022025</t>
  </si>
  <si>
    <t>CAMUZZI GAS PAMPEANA</t>
  </si>
  <si>
    <t>FCR A 70019-32220330</t>
  </si>
  <si>
    <t> GAS AL 27% </t>
  </si>
  <si>
    <t>FCR A 70019-32144220</t>
  </si>
  <si>
    <t>Agua-Luz-Gas-Informatica</t>
  </si>
  <si>
    <t> GAS NG </t>
  </si>
  <si>
    <t>FCR A 70019-32284356</t>
  </si>
  <si>
    <t>CASTELLANO CARDIELLO MAXIMILIANO DIEGO</t>
  </si>
  <si>
    <t>FCR A 00003-00003014</t>
  </si>
  <si>
    <t> FLETE por  compras AL 21% </t>
  </si>
  <si>
    <t>FCR A 00003-00003035</t>
  </si>
  <si>
    <t>FCR A 00003-00003040</t>
  </si>
  <si>
    <t>FCR A 00002-00024283</t>
  </si>
  <si>
    <t>Fletes en gral</t>
  </si>
  <si>
    <t>FCR A 00002-00024285</t>
  </si>
  <si>
    <t>FCR A 00003-00003059</t>
  </si>
  <si>
    <t>FCR A 00003-00003060</t>
  </si>
  <si>
    <t>FCR A 00003-00002951</t>
  </si>
  <si>
    <t>FCR A 00003-00002952</t>
  </si>
  <si>
    <t>FCR A 00003-00003087</t>
  </si>
  <si>
    <t>FCR A 00003-00002984</t>
  </si>
  <si>
    <t>S_2024.084 DUCTAL</t>
  </si>
  <si>
    <t>FCR A 00003-00002985</t>
  </si>
  <si>
    <t>FCR A 00002-00024353</t>
  </si>
  <si>
    <t>Nota de Crédito (Sin Remito Asociado)</t>
  </si>
  <si>
    <t>NCR A 00002-00000339</t>
  </si>
  <si>
    <t>NCR A 00003-00000015</t>
  </si>
  <si>
    <t>NCR A 00003-00000016</t>
  </si>
  <si>
    <t>CCYM CONTROL SRL</t>
  </si>
  <si>
    <t>FCR A 00002-00003217</t>
  </si>
  <si>
    <t> SERVICIOS DE TERCEROS AL 21% </t>
  </si>
  <si>
    <t>PERSONAL SILICOM</t>
  </si>
  <si>
    <t>CEFEM Industries</t>
  </si>
  <si>
    <t>Factura Importación (Con Remito Asociado)</t>
  </si>
  <si>
    <t>FCI I 00001-00180252</t>
  </si>
  <si>
    <t>COMEX Cefem OC 1766</t>
  </si>
  <si>
    <t>R1    -00171290</t>
  </si>
  <si>
    <t> DIFERENCIAS DE CAMBIO Vta.Mercaderia NG </t>
  </si>
  <si>
    <t>CENCOSUD SA</t>
  </si>
  <si>
    <t>FCR A 00461-00001674</t>
  </si>
  <si>
    <t> GASTOS VARIOS AL 21% </t>
  </si>
  <si>
    <t>CHAPALEO GASTRO</t>
  </si>
  <si>
    <t>FCR A 00002-00000243</t>
  </si>
  <si>
    <t> REFRIGERIO PERSONAL AL 21%NC </t>
  </si>
  <si>
    <t>Viaticos obra</t>
  </si>
  <si>
    <t>FCR A 00002-00000263</t>
  </si>
  <si>
    <t>COMBUSTIBLE 3 ARROYOS SA</t>
  </si>
  <si>
    <t>FCR A 00012-00020601</t>
  </si>
  <si>
    <t>FCR A 00013-00002198</t>
  </si>
  <si>
    <t>COMPET S A</t>
  </si>
  <si>
    <t>FCR A 00006-00008516</t>
  </si>
  <si>
    <t>COOPERATIVA LTDA CONSUMO ELECT. OLAV</t>
  </si>
  <si>
    <t>FCR A 00008-00367298</t>
  </si>
  <si>
    <t> ENERGIA ELECTRICA AL 27% </t>
  </si>
  <si>
    <t> ENERGIA ELECTRICA NG </t>
  </si>
  <si>
    <t>FCR A 00008-00367841</t>
  </si>
  <si>
    <t>FCR A 00010-00141904</t>
  </si>
  <si>
    <t> AGUA AL 27% </t>
  </si>
  <si>
    <t> AGUA NG </t>
  </si>
  <si>
    <t>FCR A 00010-00143001</t>
  </si>
  <si>
    <t>FCR A 00008-00375970</t>
  </si>
  <si>
    <t>FCR A 00008-00376630</t>
  </si>
  <si>
    <t>COOPERATIVA OBRERA</t>
  </si>
  <si>
    <t>FCR A 03143-00001097</t>
  </si>
  <si>
    <t>Refrigerio</t>
  </si>
  <si>
    <t>COORDINACION ECOLOGICA AREA METROPOLITAN</t>
  </si>
  <si>
    <t>FCR A 00113-04037900</t>
  </si>
  <si>
    <t>FCR A 00113-04095712</t>
  </si>
  <si>
    <t>FCR A 00113-04146998</t>
  </si>
  <si>
    <t>FCR A 00113-04071068</t>
  </si>
  <si>
    <t>FCR A 00113-04175803</t>
  </si>
  <si>
    <t>CORREDORES VIALES SA</t>
  </si>
  <si>
    <t>FCR A 00700-02262058</t>
  </si>
  <si>
    <t>FCR A 00700-02326099</t>
  </si>
  <si>
    <t>FCR A 00700-02195898</t>
  </si>
  <si>
    <t>FCR A 00104-08225812</t>
  </si>
  <si>
    <t>FCR A 00104-08567573</t>
  </si>
  <si>
    <t>FCR A 00104-07900267</t>
  </si>
  <si>
    <t>FCR A 00700-02292089</t>
  </si>
  <si>
    <t>FCR A 00700-02228713</t>
  </si>
  <si>
    <t>FCR A 00700-02354232</t>
  </si>
  <si>
    <t>FCR A 00104-08403259</t>
  </si>
  <si>
    <t>FCR A 00104-08072991</t>
  </si>
  <si>
    <t>FCR A 00104-08639161</t>
  </si>
  <si>
    <t>FCR A 00104-08674981</t>
  </si>
  <si>
    <t>NCR A 00104-00041102</t>
  </si>
  <si>
    <t>R1    -14022025</t>
  </si>
  <si>
    <t>R1    -15012025</t>
  </si>
  <si>
    <t>Ticket (Sin Remito Asociado)</t>
  </si>
  <si>
    <t>TIK   00001-00908301</t>
  </si>
  <si>
    <t>CRIMALDI SERGIO ANTONIO</t>
  </si>
  <si>
    <t>FCR A 00002-00020911</t>
  </si>
  <si>
    <t> AGUA AL 21% </t>
  </si>
  <si>
    <t>FCR A 00002-00021384</t>
  </si>
  <si>
    <t>FCR A 00002-00021128</t>
  </si>
  <si>
    <t>FCR A 00002-00020660</t>
  </si>
  <si>
    <t>Libreria-Inform-Limpieza-Agua</t>
  </si>
  <si>
    <t>CURRA DOMINGO ANTONIO</t>
  </si>
  <si>
    <t>FCR A 00005-00003648</t>
  </si>
  <si>
    <t> GASTOS LIBRERIA E INFORMATICA 21% </t>
  </si>
  <si>
    <t>DE MARTINO CARLOS A</t>
  </si>
  <si>
    <t>FCR A 00020-00007269</t>
  </si>
  <si>
    <t>FCR A 00020-00007452</t>
  </si>
  <si>
    <t>FCR A 00020-00007166</t>
  </si>
  <si>
    <t>Nota de Crédito (Con Remito Asociado)</t>
  </si>
  <si>
    <t>NC A 00020-00000086</t>
  </si>
  <si>
    <t>DETERXIL JORGE H. ZANGA E HIJAS S. CAP I</t>
  </si>
  <si>
    <t>FCR A 00001-00018230</t>
  </si>
  <si>
    <t> ART. LIMPIEZA PARA SERVICIOS AL 21% </t>
  </si>
  <si>
    <t>FCR A 00001-00017374</t>
  </si>
  <si>
    <t>FCR A 00001-00017774</t>
  </si>
  <si>
    <t>NCR A 00001-00000768</t>
  </si>
  <si>
    <t>DHL EXPRESS ARGENTINA SA</t>
  </si>
  <si>
    <t>FCR A 00280-01553732</t>
  </si>
  <si>
    <t>DISTRIB.SU SEGURID SRL</t>
  </si>
  <si>
    <t>FCR A 00005-00053070</t>
  </si>
  <si>
    <t>FCR A 00005-00052409</t>
  </si>
  <si>
    <t>FCR A 00005-00052423</t>
  </si>
  <si>
    <t>FCR A 00005-00052856</t>
  </si>
  <si>
    <t>FCR A 00005-00052857</t>
  </si>
  <si>
    <t>DOCUMENTOS ADUANEROS S.A.</t>
  </si>
  <si>
    <t>FCR A 00002-00398850</t>
  </si>
  <si>
    <t> GASTOS DE IMPORTACION AL 21% </t>
  </si>
  <si>
    <t>E-BUYPLACE SA</t>
  </si>
  <si>
    <t>FCR A 00002-00430836</t>
  </si>
  <si>
    <t>EDENRED ARGENTINA SA</t>
  </si>
  <si>
    <t>FCR A 00060-00991015</t>
  </si>
  <si>
    <t>FCR A 00060-00971284</t>
  </si>
  <si>
    <t>FCR A 00060-00982864</t>
  </si>
  <si>
    <t>FCR A 00060-00993039</t>
  </si>
  <si>
    <t>FCR A 00060-00973052</t>
  </si>
  <si>
    <t>FCR A 00060-00618578</t>
  </si>
  <si>
    <t>FCR A 00060-00612415</t>
  </si>
  <si>
    <t>FCR A 00060-00624764</t>
  </si>
  <si>
    <t>EL MODELO S R L</t>
  </si>
  <si>
    <t>FCR A 00010-00002094</t>
  </si>
  <si>
    <t>ELECTROPELBA SA</t>
  </si>
  <si>
    <t>FCR A 00030-00007992</t>
  </si>
  <si>
    <t>ESTACION DE SERVICIO EL PINO S R L</t>
  </si>
  <si>
    <t>FCR A 00019-00007122</t>
  </si>
  <si>
    <t>FCR A 00019-00005772</t>
  </si>
  <si>
    <t>FEMALUX S.R.L.</t>
  </si>
  <si>
    <t>FCR A 00002-00023308</t>
  </si>
  <si>
    <t>FCR A 00002-00023594</t>
  </si>
  <si>
    <t>FERNANDEZ MARIO GABRIEL - Rolypack Papel</t>
  </si>
  <si>
    <t>FCR A 00007-00007590</t>
  </si>
  <si>
    <t>FIGUEIRAS DAMIAN</t>
  </si>
  <si>
    <t>FCR C 00002-00003072</t>
  </si>
  <si>
    <t> GASTOS LIBRERIA E INFORMATICA NG </t>
  </si>
  <si>
    <t>FRANZ MARIA LAURA</t>
  </si>
  <si>
    <t>FCR C 00005-00000650</t>
  </si>
  <si>
    <t>FCR C 00005-00000654</t>
  </si>
  <si>
    <t>FCR C 00005-00000675</t>
  </si>
  <si>
    <t>FCR C 00005-00000655</t>
  </si>
  <si>
    <t> COMPRA MATERIALES E INSUMOS NG </t>
  </si>
  <si>
    <t>NC C 00005-00000026</t>
  </si>
  <si>
    <t>GARANTIZAR SGR</t>
  </si>
  <si>
    <t>R1    -00025692</t>
  </si>
  <si>
    <t>GARIN COMBUSTIBLES SA</t>
  </si>
  <si>
    <t>FCR A 00020-00014729</t>
  </si>
  <si>
    <t>FCR A 00020-00015291</t>
  </si>
  <si>
    <t>GCR SA</t>
  </si>
  <si>
    <t>FCR A 00004-00023046</t>
  </si>
  <si>
    <t> ALQUILER OFICINA AL 21% </t>
  </si>
  <si>
    <t>FCR A 00004-00022846</t>
  </si>
  <si>
    <t>FCR A 00004-00003241</t>
  </si>
  <si>
    <t>GEMEZ SA</t>
  </si>
  <si>
    <t>FCR A 00014-00178097</t>
  </si>
  <si>
    <t>GINTER LUCAS AUGUSTO</t>
  </si>
  <si>
    <t>FCR A 00006-00019216</t>
  </si>
  <si>
    <t>FCR A 00006-00019514</t>
  </si>
  <si>
    <t>GONZALEZ JOSE ROBERTO</t>
  </si>
  <si>
    <t>FCR A 00033-00012117</t>
  </si>
  <si>
    <t>FCR A 00033-00011417</t>
  </si>
  <si>
    <t>GOOGLE</t>
  </si>
  <si>
    <t>FCR I 05186-00756229</t>
  </si>
  <si>
    <t>FCR I 05165-00579096</t>
  </si>
  <si>
    <t>FCR I 05209-00696427</t>
  </si>
  <si>
    <t>GRUPO CONCESIONARIO DEL OESTE SA</t>
  </si>
  <si>
    <t>FCR A 00629-05768320</t>
  </si>
  <si>
    <t>FCR A 00629-05847785</t>
  </si>
  <si>
    <t>FCR A 00629-05927904</t>
  </si>
  <si>
    <t>FCR A 00629-06011239</t>
  </si>
  <si>
    <t>FCR A 00629-05807355</t>
  </si>
  <si>
    <t>FCR A 00629-05886940</t>
  </si>
  <si>
    <t>FCR A 00629-05968009</t>
  </si>
  <si>
    <t>HIERCONS SRL</t>
  </si>
  <si>
    <t>FCR A 00004-00017893</t>
  </si>
  <si>
    <t>FCR A 00004-00018062</t>
  </si>
  <si>
    <t>HOXMARK JONATHAN</t>
  </si>
  <si>
    <t>FCR C 00005-00000128</t>
  </si>
  <si>
    <t>FCR C 00005-00000140</t>
  </si>
  <si>
    <t>INC S.A</t>
  </si>
  <si>
    <t>FCR A 10767-00000696</t>
  </si>
  <si>
    <t>INDUSHOP SRL</t>
  </si>
  <si>
    <t>FCR A 00002-00000006</t>
  </si>
  <si>
    <t>FCR A 00002-00000007</t>
  </si>
  <si>
    <t>INDUSTRIA BASICA SA</t>
  </si>
  <si>
    <t>FCR A 00035-00025248</t>
  </si>
  <si>
    <t>IPERACTIVE SA</t>
  </si>
  <si>
    <t>FCR A 00002-00044931</t>
  </si>
  <si>
    <t> INTERNET AL 21% </t>
  </si>
  <si>
    <t>FCR A 00002-00045447</t>
  </si>
  <si>
    <t>NC A 00002-00000202</t>
  </si>
  <si>
    <t>ITAL PAVON S.A.</t>
  </si>
  <si>
    <t>FCR A 00011-00000778</t>
  </si>
  <si>
    <t>JALUX S.R.L.</t>
  </si>
  <si>
    <t>FCR A 00006-00004924</t>
  </si>
  <si>
    <t>KESSLER FEDERICO</t>
  </si>
  <si>
    <t>FCR A 00003-00008216</t>
  </si>
  <si>
    <t>RDCS-2024.055_TPyC-R</t>
  </si>
  <si>
    <t>FCR A 00003-00008255</t>
  </si>
  <si>
    <t>FCR A 00003-00008304</t>
  </si>
  <si>
    <t>FCR A 00007-00002849</t>
  </si>
  <si>
    <t>LA INDUSTRIAL ELECTRICA SA</t>
  </si>
  <si>
    <t>FCR A 00004-00107581</t>
  </si>
  <si>
    <t>FCR A 00004-00108746</t>
  </si>
  <si>
    <t>NC A 00004-00011405</t>
  </si>
  <si>
    <t>LABORAL Y AGROPECUARIA SRL</t>
  </si>
  <si>
    <t>FCR A 00003-00006201</t>
  </si>
  <si>
    <t>FCR A 00003-00006203</t>
  </si>
  <si>
    <t>NCR A 00003-00000176</t>
  </si>
  <si>
    <t>LABORDE GUILLERMO MARTIN</t>
  </si>
  <si>
    <t>FCR A 00002-00002367</t>
  </si>
  <si>
    <t>FCR A 00002-00002373</t>
  </si>
  <si>
    <t>LOGISTICA VW SA</t>
  </si>
  <si>
    <t>FCR A 00015-00001817</t>
  </si>
  <si>
    <t>FCR A 00015-00001834</t>
  </si>
  <si>
    <t>LOS SERES SRL</t>
  </si>
  <si>
    <t>FCR A 00009-00046422</t>
  </si>
  <si>
    <t>MANDAMAS S.A.</t>
  </si>
  <si>
    <t>FCR A 00002-00001241</t>
  </si>
  <si>
    <t> REFRIGERIO PERSONAL AL 10.5%NC </t>
  </si>
  <si>
    <t>FCR A 00002-00001453</t>
  </si>
  <si>
    <t>MAUSER S R L</t>
  </si>
  <si>
    <t>FCR A 00021-00001110</t>
  </si>
  <si>
    <t>MAZZA OMAR ALCIDES</t>
  </si>
  <si>
    <t>FCR C 00002-00000968</t>
  </si>
  <si>
    <t> ART. LIMPIEZA PARA SERVICIOS NG </t>
  </si>
  <si>
    <t>MOLINACREA SRL</t>
  </si>
  <si>
    <t>FCR A 00002-00010077</t>
  </si>
  <si>
    <t>MORC SRL</t>
  </si>
  <si>
    <t>FCR A 00004-00008776</t>
  </si>
  <si>
    <t>FCR A 00004-00008779</t>
  </si>
  <si>
    <t> SERVICIOS URBANOS AL 21% </t>
  </si>
  <si>
    <t>NO USAR- TELEFONICA DE ARGENTINA SA</t>
  </si>
  <si>
    <t>FCR A 03099-00357516</t>
  </si>
  <si>
    <t> TELEFONO FIJO AL 21% </t>
  </si>
  <si>
    <t> TELEFONO FIJO AL 27% </t>
  </si>
  <si>
    <t>FCR A 03099-00380049</t>
  </si>
  <si>
    <t>FCR A 03099-00412522</t>
  </si>
  <si>
    <t>O.A.C.I. SA</t>
  </si>
  <si>
    <t>FCR A 00026-00061495</t>
  </si>
  <si>
    <t>FCR A 00026-00060196</t>
  </si>
  <si>
    <t>FCR A 00026-00061129</t>
  </si>
  <si>
    <t>FCR A 00026-00060522</t>
  </si>
  <si>
    <t>FCR A 00026-00061223</t>
  </si>
  <si>
    <t>FCR A 00026-00060633</t>
  </si>
  <si>
    <t>FCR A 00026-00061322</t>
  </si>
  <si>
    <t>FCR A 00026-00060729</t>
  </si>
  <si>
    <t>FCR A 00026-00061387</t>
  </si>
  <si>
    <t>OCA LOG S.A.</t>
  </si>
  <si>
    <t>FCR A 02001-00438423</t>
  </si>
  <si>
    <t>OLIVERA EVANGELINA EUGENIA</t>
  </si>
  <si>
    <t>FCR C 00003-00000197</t>
  </si>
  <si>
    <t> SERVICIO DE LIMPIEZA NG </t>
  </si>
  <si>
    <t>FCR C 00003-00000234</t>
  </si>
  <si>
    <t>FCR C 00003-00000213</t>
  </si>
  <si>
    <t>OPERADORA DE ESTACIONES DE SERVICIOS SA</t>
  </si>
  <si>
    <t>FCR A 09284-00569772</t>
  </si>
  <si>
    <t>FCR A 07403-00001182</t>
  </si>
  <si>
    <t>FCR A 09060-00031322</t>
  </si>
  <si>
    <t>FCR A 07944-00024007</t>
  </si>
  <si>
    <t>FCR A 80141-00000857</t>
  </si>
  <si>
    <t>FCR A 07996-00041205</t>
  </si>
  <si>
    <t>FCR A 07316-00051275</t>
  </si>
  <si>
    <t>FCR A 09247-00003329</t>
  </si>
  <si>
    <t>FCR A 07642-00030014</t>
  </si>
  <si>
    <t>PAMPACO SRL</t>
  </si>
  <si>
    <t>FCR A 00006-00015698</t>
  </si>
  <si>
    <t>PEDRO D ANGELO E H. SRL</t>
  </si>
  <si>
    <t>FCR A 00003-00041975</t>
  </si>
  <si>
    <t>FCR A 00003-00042138</t>
  </si>
  <si>
    <t>PETRO ARG S R L</t>
  </si>
  <si>
    <t>FCR A 00013-00107468</t>
  </si>
  <si>
    <t>PETROTRES SA</t>
  </si>
  <si>
    <t>FCR A 00012-00046232</t>
  </si>
  <si>
    <t>FCR A 00011-00060387</t>
  </si>
  <si>
    <t>FCR A 00012-00046539</t>
  </si>
  <si>
    <t>PLASTIGAS MAR DEL PLATA SOCIEDAD ANONIM</t>
  </si>
  <si>
    <t>FCR A 00021-00019095</t>
  </si>
  <si>
    <t>PRODUCTS FOR CABINETS S.A.</t>
  </si>
  <si>
    <t>FCR A 00006-00060853</t>
  </si>
  <si>
    <t>FCR A 00006-00060988</t>
  </si>
  <si>
    <t>FCR A 00006-00060815</t>
  </si>
  <si>
    <t>Nota de Débito (Sin Remito Asociado)</t>
  </si>
  <si>
    <t>NDR A 00006-00023436</t>
  </si>
  <si>
    <t> DIFERENCIAS DE CAMBIO Vta.Mercaderia 21% </t>
  </si>
  <si>
    <t>PROVINCIA SEGUROS SA</t>
  </si>
  <si>
    <t>FCR A 00008-10540086</t>
  </si>
  <si>
    <t>Seguros-Flota-AccPer y otros</t>
  </si>
  <si>
    <t> SELLADO </t>
  </si>
  <si>
    <t>FCR A 00001-00167398</t>
  </si>
  <si>
    <t>REGGIERI S.A</t>
  </si>
  <si>
    <t>FCR A 00014-00063597</t>
  </si>
  <si>
    <t>FCR A 00014-00064105</t>
  </si>
  <si>
    <t>FCR A 00014-00064770</t>
  </si>
  <si>
    <t>FCR A 00014-00062635</t>
  </si>
  <si>
    <t>RISSO SEBASTIAN OMAR</t>
  </si>
  <si>
    <t>FCR A 00001-00003727</t>
  </si>
  <si>
    <t>FCR A 00001-00003734</t>
  </si>
  <si>
    <t>SAN MONTE GAS SA</t>
  </si>
  <si>
    <t>FCR A 00001-00058061</t>
  </si>
  <si>
    <t>SEFAC PEHUAJO S A</t>
  </si>
  <si>
    <t>FCR A 00023-00003383</t>
  </si>
  <si>
    <t>SERV NAC DE SANIDAD Y CALIDA AGROALIMENT</t>
  </si>
  <si>
    <t>R1    -61656140</t>
  </si>
  <si>
    <t>R1    -61656141</t>
  </si>
  <si>
    <t>SERVICENTRO JOSE C PAZ S A</t>
  </si>
  <si>
    <t>FCR A 00009-00011885</t>
  </si>
  <si>
    <t>SERVILUJAN COMBUSTIBLES SA</t>
  </si>
  <si>
    <t>FCR A 00006-00005447</t>
  </si>
  <si>
    <t>SINGLA ELECTRICIDAD SA</t>
  </si>
  <si>
    <t>FCR A 00011-00027708</t>
  </si>
  <si>
    <t>FCR A 00011-00027759</t>
  </si>
  <si>
    <t>NCR A 00011-00002448</t>
  </si>
  <si>
    <t>SISTEMAS BEJERMAN SA</t>
  </si>
  <si>
    <t>FCR A 00008-00254226</t>
  </si>
  <si>
    <t>FCR A 00008-00257139</t>
  </si>
  <si>
    <t>TELEFONICA MOVILES ARGENTINA SA</t>
  </si>
  <si>
    <t>FCR A 02467-01273955</t>
  </si>
  <si>
    <t> TELEFONO MOVIL AL 27% </t>
  </si>
  <si>
    <t> TELEFONO MOVIL NG </t>
  </si>
  <si>
    <t>FCR A 02467-01296046</t>
  </si>
  <si>
    <t>FCR A 02467-01314927</t>
  </si>
  <si>
    <t>TELEPEAJE SA</t>
  </si>
  <si>
    <t>TIK   00001-00614488</t>
  </si>
  <si>
    <t>TRANSFORMADORES LOMBARD SRL</t>
  </si>
  <si>
    <t>FCR A 00004-00002529</t>
  </si>
  <si>
    <t>FCR A 00004-00002615</t>
  </si>
  <si>
    <t>TRANSPORTE GUILLERMO E HIJOS DE TANDIL</t>
  </si>
  <si>
    <t>FCR A 00002-00007863</t>
  </si>
  <si>
    <t>FCR A 00002-00007997</t>
  </si>
  <si>
    <t>FCR A 00002-00007919</t>
  </si>
  <si>
    <t>FCR A 00002-00008010</t>
  </si>
  <si>
    <t>FCR A 00002-00008016</t>
  </si>
  <si>
    <t>TUCCIO RICARDO DANTE</t>
  </si>
  <si>
    <t>FCR A 00005-00005330</t>
  </si>
  <si>
    <t>FCR A 00005-00005266</t>
  </si>
  <si>
    <t> REPUESTOS AL 21 % </t>
  </si>
  <si>
    <t>UNION INDUSTRIAL DE OLAVARRIA</t>
  </si>
  <si>
    <t>FCR C 00002-00000943</t>
  </si>
  <si>
    <t>UNLIMITED WORLD S.A.</t>
  </si>
  <si>
    <t>FCR A 00002-00020382</t>
  </si>
  <si>
    <t> HONORARIOS ASESORES AL 21% </t>
  </si>
  <si>
    <t>Nota de Débito (Con Remito Asociado)</t>
  </si>
  <si>
    <t>ND A 00002-00002976</t>
  </si>
  <si>
    <t>ND A 00002-00002978</t>
  </si>
  <si>
    <t>VALCARA SA</t>
  </si>
  <si>
    <t>FCR A 00012-00005160</t>
  </si>
  <si>
    <t>FCR A 00015-00003915</t>
  </si>
  <si>
    <t>FCR A 00011-00027559</t>
  </si>
  <si>
    <t>FCR A 00013-00023691</t>
  </si>
  <si>
    <t>FCR A 00011-00027815</t>
  </si>
  <si>
    <t>FCR A 00013-00024131</t>
  </si>
  <si>
    <t>FCR A 00015-00004103</t>
  </si>
  <si>
    <t>FCR A 00015-00003795</t>
  </si>
  <si>
    <t>FCR A 00012-00004259</t>
  </si>
  <si>
    <t>FCR A 00015-00005838</t>
  </si>
  <si>
    <t>FCR A 00015-00004195</t>
  </si>
  <si>
    <t>FCR A 00013-00026055</t>
  </si>
  <si>
    <t>FCR A 00016-00000071</t>
  </si>
  <si>
    <t>FCR A 00011-00027725</t>
  </si>
  <si>
    <t>FCR A 00012-00004847</t>
  </si>
  <si>
    <t>VERIFICACION OLAVARRIA S.A.</t>
  </si>
  <si>
    <t>FCR A 00002-00089121</t>
  </si>
  <si>
    <t>Camion</t>
  </si>
  <si>
    <t>VICBRIL INTERNACIONAL SA.</t>
  </si>
  <si>
    <t>FCR A 00012-00001172</t>
  </si>
  <si>
    <t>FCR A 00012-00001096</t>
  </si>
  <si>
    <t>FCR A 00012-00001114</t>
  </si>
  <si>
    <t>FCR A 00012-00001121</t>
  </si>
  <si>
    <t>FCR A 00012-00001076</t>
  </si>
  <si>
    <t>FCR A 00012-00001168</t>
  </si>
  <si>
    <t>NCR A 00012-00000181</t>
  </si>
  <si>
    <t>NCR A 00014-00000008</t>
  </si>
  <si>
    <t>ZITO Y PRIOLA SRL</t>
  </si>
  <si>
    <t>FCR A 00030-00036413</t>
  </si>
  <si>
    <t>FCR A 00029-00018782</t>
  </si>
  <si>
    <t>AEROPUERTOS ARGENTINA 2000 SA</t>
  </si>
  <si>
    <t>FCR A 00444-00044994</t>
  </si>
  <si>
    <t>FCR A 00440-02277607</t>
  </si>
  <si>
    <t>FCR B 00447-00007150</t>
  </si>
  <si>
    <t>FCR B 00468-00336237</t>
  </si>
  <si>
    <t>FCI A 01993-02500795</t>
  </si>
  <si>
    <t> IVA CF IMPORTACIONES 21% </t>
  </si>
  <si>
    <t>FCI I 01993-00180252</t>
  </si>
  <si>
    <t>AGENTES ROMERO SA</t>
  </si>
  <si>
    <t>FCR A 00076-00120129</t>
  </si>
  <si>
    <t>FCR A 00076-00120130</t>
  </si>
  <si>
    <t>AGRASO LUGONES JUAN CRUZ</t>
  </si>
  <si>
    <t>FCR A 00002-00000778</t>
  </si>
  <si>
    <t>ALVAREZ DARIO BERNARDO</t>
  </si>
  <si>
    <t>FCR A 00014-00004433</t>
  </si>
  <si>
    <t>ANTISTA OSCAR ANIBAL</t>
  </si>
  <si>
    <t>FCR A 00003-00005072</t>
  </si>
  <si>
    <t>APPLUS ITEUVE ARGENTINA SA</t>
  </si>
  <si>
    <t>FCR A 02064-00017981</t>
  </si>
  <si>
    <t>FCR A 02064-00019093</t>
  </si>
  <si>
    <t>ARCOS DORADOS ARGENTINA SOCIEDAD ANONIM</t>
  </si>
  <si>
    <t>FCR A 05673-00000467</t>
  </si>
  <si>
    <t>FCR C 00003-00012327</t>
  </si>
  <si>
    <t>FCR C 00003-00012220</t>
  </si>
  <si>
    <t>FCR A 00711-07105831</t>
  </si>
  <si>
    <t>FCR A 00711-07227914</t>
  </si>
  <si>
    <t>FCR A 00711-07347781</t>
  </si>
  <si>
    <t>FCR A 00711-07043427</t>
  </si>
  <si>
    <t>FCR A 00711-07166277</t>
  </si>
  <si>
    <t>FCR A 00711-07287512</t>
  </si>
  <si>
    <t>FCR A 00050-04404637</t>
  </si>
  <si>
    <t>FCR A 05016-00852963</t>
  </si>
  <si>
    <t>FCR A 05016-00912450</t>
  </si>
  <si>
    <t>FCR A 05016-00869082</t>
  </si>
  <si>
    <t>FCR A 05016-00928976</t>
  </si>
  <si>
    <t>FCR A 05016-00897277</t>
  </si>
  <si>
    <t>FCR A 00010-00007978</t>
  </si>
  <si>
    <t>FCR A 00010-00007402</t>
  </si>
  <si>
    <t>FCR A 00010-00007672</t>
  </si>
  <si>
    <t>FCR A 00010-00005269</t>
  </si>
  <si>
    <t>FCR A 00010-00007516</t>
  </si>
  <si>
    <t>FCR A 00010-00007544</t>
  </si>
  <si>
    <t>FCR A 00010-00007574</t>
  </si>
  <si>
    <t>BAFITUREN ARGENTINA SA</t>
  </si>
  <si>
    <t>FCR A 00005-00003480</t>
  </si>
  <si>
    <t>FCR A 00005-00642272</t>
  </si>
  <si>
    <t> SEGUROS DE CAUCION AL 21% </t>
  </si>
  <si>
    <t> SEGUROS DE CAUCION NG </t>
  </si>
  <si>
    <t>FCR A 00005-00644310</t>
  </si>
  <si>
    <t>NC A 00005-00089021</t>
  </si>
  <si>
    <t>NDR A 00005-00052242</t>
  </si>
  <si>
    <t>BIENES PERSONALES</t>
  </si>
  <si>
    <t>R1    -12062025</t>
  </si>
  <si>
    <t> BP- ACCIONES O PARTIC </t>
  </si>
  <si>
    <t>R1    -30052025</t>
  </si>
  <si>
    <t>R1    -31052025</t>
  </si>
  <si>
    <t>FCR A 00013-00095367</t>
  </si>
  <si>
    <t>ABB S-2024.028_YPF.Rio3ro</t>
  </si>
  <si>
    <t>FCR A 00013-00097269</t>
  </si>
  <si>
    <t>FCR A 00013-00095549</t>
  </si>
  <si>
    <t>FCR A 00013-00097723</t>
  </si>
  <si>
    <t>FCR A 00013-00096801</t>
  </si>
  <si>
    <t>SPODEK Mudanza de oficina</t>
  </si>
  <si>
    <t>FCR A 00013-00096807</t>
  </si>
  <si>
    <t>FCR A 00013-00095868</t>
  </si>
  <si>
    <t>CABLEPARTSNET SRL</t>
  </si>
  <si>
    <t>FCR A 00004-00005708</t>
  </si>
  <si>
    <t>FCR A 70019-32361352</t>
  </si>
  <si>
    <t>FCR A 70019-32513612</t>
  </si>
  <si>
    <t>FCR A 70019-04373942</t>
  </si>
  <si>
    <t>FCR A 00003-00003317</t>
  </si>
  <si>
    <t>FCR A 00003-00003568</t>
  </si>
  <si>
    <t>FCR A 00003-00003584</t>
  </si>
  <si>
    <t>FCR A 00003-00003587</t>
  </si>
  <si>
    <t>FCR A 00003-00003357</t>
  </si>
  <si>
    <t>FCR A 00003-00003187</t>
  </si>
  <si>
    <t>FCR A 00003-00003188</t>
  </si>
  <si>
    <t>FCR A 00003-00003189</t>
  </si>
  <si>
    <t>FCR A 00003-00003402</t>
  </si>
  <si>
    <t>FCR A 00003-00003239</t>
  </si>
  <si>
    <t>FCR A 00003-00003448</t>
  </si>
  <si>
    <t>FCR A 00003-00003254</t>
  </si>
  <si>
    <t>FCR A 00003-00003274</t>
  </si>
  <si>
    <t>FCR A 00003-00003289</t>
  </si>
  <si>
    <t>FCR A 00003-00003745</t>
  </si>
  <si>
    <t>FCR A 00003-00003306</t>
  </si>
  <si>
    <t>FCR A 00003-00003309</t>
  </si>
  <si>
    <t>R1    -20052025</t>
  </si>
  <si>
    <t>FCR A 00002-00000518</t>
  </si>
  <si>
    <t> MOVILIDAD Y VIATICOS AL 21% </t>
  </si>
  <si>
    <t>FCR A 00002-00000537</t>
  </si>
  <si>
    <t>FCR A 00002-00000479</t>
  </si>
  <si>
    <t>CHRISTIAN ARIEL BEAS</t>
  </si>
  <si>
    <t>FCR A 00004-00002041</t>
  </si>
  <si>
    <t>FCR A 00008-00385559</t>
  </si>
  <si>
    <t>FCR A 00008-00386555</t>
  </si>
  <si>
    <t>FCR A 00010-00145862</t>
  </si>
  <si>
    <t>FCR A 00010-00146907</t>
  </si>
  <si>
    <t>FCR A 00113-04203322</t>
  </si>
  <si>
    <t>FCR A 00113-04258654</t>
  </si>
  <si>
    <t>FCR A 00700-02514904</t>
  </si>
  <si>
    <t>FCR A 00700-02390316</t>
  </si>
  <si>
    <t>FCR A 00700-02452666</t>
  </si>
  <si>
    <t>FCR A 00104-08749407</t>
  </si>
  <si>
    <t>FCR A 00104-08797675</t>
  </si>
  <si>
    <t>FCR A 00104-09174396</t>
  </si>
  <si>
    <t>FCR A 00104-09498662</t>
  </si>
  <si>
    <t>FCR A 00104-09536430</t>
  </si>
  <si>
    <t>FCR A 00700-02417792</t>
  </si>
  <si>
    <t>FCR A 00700-02479093</t>
  </si>
  <si>
    <t>FCR A 00700-02540520</t>
  </si>
  <si>
    <t>FCR A 00104-09351066</t>
  </si>
  <si>
    <t>FCR A 00104-09011912</t>
  </si>
  <si>
    <t>FCR A 00104-09649571</t>
  </si>
  <si>
    <t>NCR A 00104-00042703</t>
  </si>
  <si>
    <t>CORTES LEONARDO MIGUEL</t>
  </si>
  <si>
    <t>FCR A 00004-00002334</t>
  </si>
  <si>
    <t>FCR A 00004-00002344</t>
  </si>
  <si>
    <t>FCR A 00002-00021603</t>
  </si>
  <si>
    <t>FCR A 00002-00021756</t>
  </si>
  <si>
    <t>DASTUGUE ANDRES ALFREDO</t>
  </si>
  <si>
    <t>FCR C 00002-00000199</t>
  </si>
  <si>
    <t> REPARACIONES NG </t>
  </si>
  <si>
    <t>DE BELAUSTEGUI RICARDO JOSE</t>
  </si>
  <si>
    <t>FCR A 00008-00001249</t>
  </si>
  <si>
    <t>FCR A 00020-00007717</t>
  </si>
  <si>
    <t>FCR A 00020-00007515</t>
  </si>
  <si>
    <t>FCR A 00020-00007604</t>
  </si>
  <si>
    <t>R1    -00003079</t>
  </si>
  <si>
    <t> Cheque Rechazado (No Alcanzado) </t>
  </si>
  <si>
    <t>FCR A 00001-00018992</t>
  </si>
  <si>
    <t>DIGI-KEY Electronics  USA</t>
  </si>
  <si>
    <t>R1    -07042025</t>
  </si>
  <si>
    <t>DISCAMP ARGENTINA SRL</t>
  </si>
  <si>
    <t>FCR A 00006-00015549</t>
  </si>
  <si>
    <t>FCR A 00005-00053448</t>
  </si>
  <si>
    <t>FCR A 00005-00053720</t>
  </si>
  <si>
    <t>FCR A 00002-00416774</t>
  </si>
  <si>
    <t>FCR A 00002-00412707</t>
  </si>
  <si>
    <t>FCR A 00002-00444839</t>
  </si>
  <si>
    <t>FCR A 00002-00437928</t>
  </si>
  <si>
    <t>FCR A 00002-00441633</t>
  </si>
  <si>
    <t>FCR A 00060-00631082</t>
  </si>
  <si>
    <t>FCR A 00060-00643897</t>
  </si>
  <si>
    <t>FCR A 00060-00637526</t>
  </si>
  <si>
    <t>FCR A 00019-00009591</t>
  </si>
  <si>
    <t>ESTACION FIAMA S.R.L</t>
  </si>
  <si>
    <t>FCR A 00006-00017907</t>
  </si>
  <si>
    <t>ESTACION ROSSANO S.R.L</t>
  </si>
  <si>
    <t>FCR A 00011-00019272</t>
  </si>
  <si>
    <t>FCR A 00012-00010525</t>
  </si>
  <si>
    <t>FCR A 00007-00009415</t>
  </si>
  <si>
    <t>FCR A 00007-00009416</t>
  </si>
  <si>
    <t>FCR A 00007-00009642</t>
  </si>
  <si>
    <t>FCR C 00005-00000737</t>
  </si>
  <si>
    <t>FCR C 00005-00000724</t>
  </si>
  <si>
    <t>FCR C 00005-00000691</t>
  </si>
  <si>
    <t>FCR C 00005-00000717</t>
  </si>
  <si>
    <t>FCR A 00020-00016091</t>
  </si>
  <si>
    <t>FCR A 00004-00023452</t>
  </si>
  <si>
    <t>FCR A 00004-00023824</t>
  </si>
  <si>
    <t>FCR A 00004-00023641</t>
  </si>
  <si>
    <t>FCR A 00006-00019599</t>
  </si>
  <si>
    <t>FCR A 00006-00019897</t>
  </si>
  <si>
    <t>FCR A 00006-00019614</t>
  </si>
  <si>
    <t>GOMERIAS CASTAGNARI SRL</t>
  </si>
  <si>
    <t>FCR A 00005-00019278</t>
  </si>
  <si>
    <t> REPARACIONES AL 21% </t>
  </si>
  <si>
    <t>FCR A 00028-00025197</t>
  </si>
  <si>
    <t>FCR I 05264-00006635</t>
  </si>
  <si>
    <t>R1    -30062025</t>
  </si>
  <si>
    <t>FCR A 00629-06266939</t>
  </si>
  <si>
    <t>FCR A 00629-06053380</t>
  </si>
  <si>
    <t>FCR A 00629-06139085</t>
  </si>
  <si>
    <t>FCR A 00629-06224333</t>
  </si>
  <si>
    <t>FCR A 00004-00020059</t>
  </si>
  <si>
    <t>FCR A 00004-00018866</t>
  </si>
  <si>
    <t>FCR A 00004-00018867</t>
  </si>
  <si>
    <t>FCR A 00004-00020326</t>
  </si>
  <si>
    <t>FCR A 00004-00020396</t>
  </si>
  <si>
    <t>HIPODROMO ARGENTINO DE PALERMO SA</t>
  </si>
  <si>
    <t>FCR A 00812-00000852</t>
  </si>
  <si>
    <t>FCR C 00005-00000141</t>
  </si>
  <si>
    <t>FCR C 00005-00000146</t>
  </si>
  <si>
    <t>FCR C 00005-00000150</t>
  </si>
  <si>
    <t>FCR A 10765-00001077</t>
  </si>
  <si>
    <t>FCR A 00035-00025441</t>
  </si>
  <si>
    <t>FCR A 00035-00025444</t>
  </si>
  <si>
    <t>FCR A 00035-00025445</t>
  </si>
  <si>
    <t>FCR A 00035-00025666</t>
  </si>
  <si>
    <t>FCR A 00035-00025668</t>
  </si>
  <si>
    <t>NCR A 00035-00004964</t>
  </si>
  <si>
    <t>INTER SER S.P.A</t>
  </si>
  <si>
    <t>FC I 00025-00000795</t>
  </si>
  <si>
    <t>R1    -10062025</t>
  </si>
  <si>
    <t>IRIARTE INGENIERIA SRL</t>
  </si>
  <si>
    <t>FCR A 00002-00010621</t>
  </si>
  <si>
    <t>FCR A 00003-00008415</t>
  </si>
  <si>
    <t>FCR A 00003-00008347</t>
  </si>
  <si>
    <t>FCR A 00003-00008472</t>
  </si>
  <si>
    <t>LA COLONIA SA</t>
  </si>
  <si>
    <t>FCR A 00093-00065837</t>
  </si>
  <si>
    <t>LA PLATA TRADE S.A.S.</t>
  </si>
  <si>
    <t>FCR A 00005-00036522</t>
  </si>
  <si>
    <t>FCR A 00003-00006270</t>
  </si>
  <si>
    <t>LAND OIL SRL</t>
  </si>
  <si>
    <t>FCR A 00033-00005221</t>
  </si>
  <si>
    <t>FCR A 00009-00044377</t>
  </si>
  <si>
    <t>FCR A 00009-00044500</t>
  </si>
  <si>
    <t>FCR A 00011-00578009</t>
  </si>
  <si>
    <t>FCR A 00002-00001819</t>
  </si>
  <si>
    <t> MOVILIDAD Y VIATICOS AL 10.5% </t>
  </si>
  <si>
    <t>FCR A 00002-00001859</t>
  </si>
  <si>
    <t>FCR A 00002-00001872</t>
  </si>
  <si>
    <t>MARTCOMP SAS</t>
  </si>
  <si>
    <t>FCR A 00005-00010218</t>
  </si>
  <si>
    <t>MASSON ABRIL ROCIO</t>
  </si>
  <si>
    <t>FCR C 00001-00000038</t>
  </si>
  <si>
    <t>MATEAZZI OYHENART CLAUDIA ROSANA</t>
  </si>
  <si>
    <t>FCR A 00020-00026280</t>
  </si>
  <si>
    <t>MERCADOLIBRE S.R.L.</t>
  </si>
  <si>
    <t>R1    -00042025</t>
  </si>
  <si>
    <t> FLETE por compras NG </t>
  </si>
  <si>
    <t>MERINGER HECTOR EDUARDO</t>
  </si>
  <si>
    <t>FCR C 00003-00000474</t>
  </si>
  <si>
    <t>FCR A 00002-00010430</t>
  </si>
  <si>
    <t>FCR A 00004-00009430</t>
  </si>
  <si>
    <t>MUNICIPAL PATENTES</t>
  </si>
  <si>
    <t>R1    -00012025</t>
  </si>
  <si>
    <t>Kangoo</t>
  </si>
  <si>
    <t>R1    -10042025</t>
  </si>
  <si>
    <t>R1    -00022025</t>
  </si>
  <si>
    <t>FCR A 03099-00439863</t>
  </si>
  <si>
    <t>FCR A 03099-00466125</t>
  </si>
  <si>
    <t>FCR A 03099-00475311</t>
  </si>
  <si>
    <t>FCR A 00026-00063020</t>
  </si>
  <si>
    <t>FCR A 00026-00062214</t>
  </si>
  <si>
    <t>FCR A 00026-00063078</t>
  </si>
  <si>
    <t>FCR A 00026-00062247</t>
  </si>
  <si>
    <t>FCR A 00026-00063156</t>
  </si>
  <si>
    <t>FCR A 00026-00063246</t>
  </si>
  <si>
    <t>FCR A 00026-00061900</t>
  </si>
  <si>
    <t>FCR A 00026-00061956</t>
  </si>
  <si>
    <t>FCR A 00026-00063520</t>
  </si>
  <si>
    <t>FCR A 00026-00062061</t>
  </si>
  <si>
    <t>FCR A 00026-00062153</t>
  </si>
  <si>
    <t>FCR A 02001-00453536</t>
  </si>
  <si>
    <t>OLANET SRL</t>
  </si>
  <si>
    <t>FCR A 00006-00017478</t>
  </si>
  <si>
    <t>FCR C 00003-00000350</t>
  </si>
  <si>
    <t>FCR C 00003-00000301</t>
  </si>
  <si>
    <t>FCR A 07142-00003105</t>
  </si>
  <si>
    <t>FCR A 08338-00060489</t>
  </si>
  <si>
    <t>FCR A 08304-00044302</t>
  </si>
  <si>
    <t>FCR A 09098-00017753</t>
  </si>
  <si>
    <t>FCR A 07210-00092428</t>
  </si>
  <si>
    <t>FCR A 07212-00015213</t>
  </si>
  <si>
    <t>FCR A 07290-00002190</t>
  </si>
  <si>
    <t>FCR A 77294-00002987</t>
  </si>
  <si>
    <t>FCR A 08304-00043704</t>
  </si>
  <si>
    <t>FCR A 08310-00002494</t>
  </si>
  <si>
    <t>FCR A 08306-00040022</t>
  </si>
  <si>
    <t>FCR A 08010-00045315</t>
  </si>
  <si>
    <t>FCR A 08012-00038782</t>
  </si>
  <si>
    <t>FCR A 00006-00016109</t>
  </si>
  <si>
    <t>FCR A 00006-00016424</t>
  </si>
  <si>
    <t>PETROPRINGLES S.A</t>
  </si>
  <si>
    <t>FCR A 00034-00029597</t>
  </si>
  <si>
    <t>POLICLINICA PRIVADA ALVEAR SRL</t>
  </si>
  <si>
    <t>FCR A 00003-00012229</t>
  </si>
  <si>
    <t>NDR A 00006-00023916</t>
  </si>
  <si>
    <t>FCR A 00000-10797852</t>
  </si>
  <si>
    <t>FCR A 00000-01959635</t>
  </si>
  <si>
    <t>FCR A 00004-00045831</t>
  </si>
  <si>
    <t>NDR A 00004-00046874</t>
  </si>
  <si>
    <t> ***DIFERENCIAS DE COTIZACION AL 21% </t>
  </si>
  <si>
    <t>R M SEGURIDAD AMBIENTAL S.A.</t>
  </si>
  <si>
    <t>FCR A 00003-00011275</t>
  </si>
  <si>
    <t>FCR A 00014-00067202</t>
  </si>
  <si>
    <t> SERVICIOS AL 21% </t>
  </si>
  <si>
    <t>FCR A 00014-00065967</t>
  </si>
  <si>
    <t>FCR A 00014-00066615</t>
  </si>
  <si>
    <t>FCR A 00001-00003750</t>
  </si>
  <si>
    <t>FCR A 00001-00003784</t>
  </si>
  <si>
    <t>SANTA BARBARA SA</t>
  </si>
  <si>
    <t>FCR A 00073-00017092</t>
  </si>
  <si>
    <t>SANTIAGO MASSON SOCIEDAD ANONIMA</t>
  </si>
  <si>
    <t>FCR A 00009-00055387</t>
  </si>
  <si>
    <t>SCARPARO SAS</t>
  </si>
  <si>
    <t>FCR A 00006-00000256</t>
  </si>
  <si>
    <t>R1    -63102534</t>
  </si>
  <si>
    <t>ABB S- 2025.029_SH PTC LAJE</t>
  </si>
  <si>
    <t>R1    -63102535</t>
  </si>
  <si>
    <t>FCR A 00011-00029748</t>
  </si>
  <si>
    <t>FCR A 00011-00029011</t>
  </si>
  <si>
    <t>FCR A 00011-00030753</t>
  </si>
  <si>
    <t>FCR A 00011-00030843</t>
  </si>
  <si>
    <t>FCR A 00011-00029239</t>
  </si>
  <si>
    <t>FCR A 00011-00030166</t>
  </si>
  <si>
    <t>FCR A 00011-00030167</t>
  </si>
  <si>
    <t>FCR A 00011-00029441</t>
  </si>
  <si>
    <t>FCR A 00011-00029455</t>
  </si>
  <si>
    <t>FCR A 00008-00262568</t>
  </si>
  <si>
    <t>FCR A 00008-00266101</t>
  </si>
  <si>
    <t>FCR A 00008-00260218</t>
  </si>
  <si>
    <t>SUPER SERVICIOS S A</t>
  </si>
  <si>
    <t>FCR A 00058-00009472</t>
  </si>
  <si>
    <t>TECNO-BOX S.R.L.</t>
  </si>
  <si>
    <t>FCR A 00004-00019296</t>
  </si>
  <si>
    <t>FCR A 02467-01332090</t>
  </si>
  <si>
    <t>FCR A 02467-01348419</t>
  </si>
  <si>
    <t>FCR A 02467-01366261</t>
  </si>
  <si>
    <t>R1    -01062025</t>
  </si>
  <si>
    <t>R1    -04052025</t>
  </si>
  <si>
    <t>R1    -16052025</t>
  </si>
  <si>
    <t>R1    -18062025</t>
  </si>
  <si>
    <t>TIK   00001-02818730</t>
  </si>
  <si>
    <t>TIK   00001-99102572</t>
  </si>
  <si>
    <t>TIERRA DE OPORTUNIDADES SA</t>
  </si>
  <si>
    <t>FCR A 00013-00001923</t>
  </si>
  <si>
    <t>TM METALES SA</t>
  </si>
  <si>
    <t>FCR A 00005-00010632</t>
  </si>
  <si>
    <t>TORNADO INGENIERIA S.R.L</t>
  </si>
  <si>
    <t>FCR A 00001-00001678</t>
  </si>
  <si>
    <t>FCR A 00004-00002767</t>
  </si>
  <si>
    <t>FCR A 00004-00002790</t>
  </si>
  <si>
    <t>FCR A 00002-00008033</t>
  </si>
  <si>
    <t>FCR A 00002-00008238</t>
  </si>
  <si>
    <t>FCR A 00002-00008142</t>
  </si>
  <si>
    <t>FCR A 00002-00008246</t>
  </si>
  <si>
    <t>FCR A 00002-00008252</t>
  </si>
  <si>
    <t>FCR A 00002-00008256</t>
  </si>
  <si>
    <t>FCR A 00002-00008099</t>
  </si>
  <si>
    <t>FCR A 00002-00008102</t>
  </si>
  <si>
    <t>FCR A 00002-00008300</t>
  </si>
  <si>
    <t> GAS AL 21% </t>
  </si>
  <si>
    <t>FCR A 00002-00008112</t>
  </si>
  <si>
    <t>FCR A 00005-00005438</t>
  </si>
  <si>
    <t>FCR A 00005-00005489</t>
  </si>
  <si>
    <t>FCR A 00005-00005536</t>
  </si>
  <si>
    <t>FCR C 00002-00001075</t>
  </si>
  <si>
    <t>FCR A 00002-00020774</t>
  </si>
  <si>
    <t>FCR A 00002-00020954</t>
  </si>
  <si>
    <t>FCR A 00002-00021094</t>
  </si>
  <si>
    <t>FCR A 00002-00020925</t>
  </si>
  <si>
    <t>FCR A 00002-00020926</t>
  </si>
  <si>
    <t>ND A 00002-00003121</t>
  </si>
  <si>
    <t>ND A 00002-00003094</t>
  </si>
  <si>
    <t>FCR A 00011-00028710</t>
  </si>
  <si>
    <t>FCR A 00013-00026365</t>
  </si>
  <si>
    <t>FCR A 00011-00028746</t>
  </si>
  <si>
    <t>FCR A 00014-00002225</t>
  </si>
  <si>
    <t>FCR A 00011-00028776</t>
  </si>
  <si>
    <t>FCR A 00013-00026605</t>
  </si>
  <si>
    <t>FCR A 00014-00002086</t>
  </si>
  <si>
    <t>FCR A 00011-00028829</t>
  </si>
  <si>
    <t>FCR A 00013-00029451</t>
  </si>
  <si>
    <t>FCR A 00014-00002309</t>
  </si>
  <si>
    <t>FCR A 00011-00028925</t>
  </si>
  <si>
    <t>FCR A 00014-00002570</t>
  </si>
  <si>
    <t>FCR A 00013-00028743</t>
  </si>
  <si>
    <t>FCR A 00014-00002362</t>
  </si>
  <si>
    <t>FCR A 00012-00001316</t>
  </si>
  <si>
    <t>FCR A 00012-00001290</t>
  </si>
  <si>
    <t>FCR A 00012-00001293</t>
  </si>
  <si>
    <t>FCR A 00012-00001198</t>
  </si>
  <si>
    <t>FCR A 00012-00001201</t>
  </si>
  <si>
    <t>ZARATE EDUARDO JOSE</t>
  </si>
  <si>
    <t>FCR A 00017-00034550</t>
  </si>
  <si>
    <t>FCR A 00030-00037483</t>
  </si>
  <si>
    <t>FCR A 00034-00005136</t>
  </si>
  <si>
    <t>ABB SAU</t>
  </si>
  <si>
    <t>FCR A 00080-00239455</t>
  </si>
  <si>
    <t>FCR A 00080-00237950</t>
  </si>
  <si>
    <t>FCR A 00080-00239737</t>
  </si>
  <si>
    <t>FCR A 00080-00239926</t>
  </si>
  <si>
    <t>FCR A 00080-00239927</t>
  </si>
  <si>
    <t>FCR A 00080-00240007</t>
  </si>
  <si>
    <t>FCR A 00080-00239212</t>
  </si>
  <si>
    <t>ND A 00080-00031117</t>
  </si>
  <si>
    <t> DIFERENCIAS DE CAMBIO Compra Mercadería 21% </t>
  </si>
  <si>
    <t>DIFERENCIAS DE CAMBIO</t>
  </si>
  <si>
    <t>FCR A 00076-00124481</t>
  </si>
  <si>
    <t>R1    -00000025</t>
  </si>
  <si>
    <t>R1    -00202505</t>
  </si>
  <si>
    <t>FCR C 00003-00012914</t>
  </si>
  <si>
    <t>FCR C 00003-00013135</t>
  </si>
  <si>
    <t>FCR C 00003-00012445</t>
  </si>
  <si>
    <t>FCR C 00003-00012790</t>
  </si>
  <si>
    <t>FCR C 00003-00013027</t>
  </si>
  <si>
    <t>FCR C 00003-00012611</t>
  </si>
  <si>
    <t>ATECO CABLES S.R.L</t>
  </si>
  <si>
    <t>FCR A 00003-00022396</t>
  </si>
  <si>
    <t>FCR A 00711-07470452</t>
  </si>
  <si>
    <t>FCR A 00711-07594069</t>
  </si>
  <si>
    <t>FCR A 00711-07716831</t>
  </si>
  <si>
    <t>FCR A 00711-07407614</t>
  </si>
  <si>
    <t>FCR A 00711-07531159</t>
  </si>
  <si>
    <t>FCR A 00711-07654686</t>
  </si>
  <si>
    <t>FCR A 00050-04566428</t>
  </si>
  <si>
    <t>FCR A 05016-00945338</t>
  </si>
  <si>
    <t>FCR A 05016-01010953</t>
  </si>
  <si>
    <t>FCR A 05016-01043558</t>
  </si>
  <si>
    <t>FCR A 05016-00978373</t>
  </si>
  <si>
    <t>FCR A 05016-01027175</t>
  </si>
  <si>
    <t>FCR A 05016-01097387</t>
  </si>
  <si>
    <t>FCR A 05016-00961686</t>
  </si>
  <si>
    <t>FCR A 05016-00994705</t>
  </si>
  <si>
    <t>FCR A 05016-01063827</t>
  </si>
  <si>
    <t>FCR A 00010-00008350</t>
  </si>
  <si>
    <t>FCR A 00010-00008534</t>
  </si>
  <si>
    <t>FCR A 00010-00008172</t>
  </si>
  <si>
    <t>HERRAMIENTAS-SILICOM</t>
  </si>
  <si>
    <t>FCR A 00010-00008015</t>
  </si>
  <si>
    <t>FCR A 00010-00008032</t>
  </si>
  <si>
    <t>FCR A 00010-00008415</t>
  </si>
  <si>
    <t>FCR A 00010-00008235</t>
  </si>
  <si>
    <t>FCR A 00010-00008043</t>
  </si>
  <si>
    <t>FCR A 00010-00008255</t>
  </si>
  <si>
    <t>FCR A 00010-00008426</t>
  </si>
  <si>
    <t>FCR A 00010-00008427</t>
  </si>
  <si>
    <t>FCR A 00008-00068833</t>
  </si>
  <si>
    <t>FCR A 00010-00008100</t>
  </si>
  <si>
    <t>Herramientas/Respuestos</t>
  </si>
  <si>
    <t>FCR A 00010-00008109</t>
  </si>
  <si>
    <t>FCR A 00010-00008694</t>
  </si>
  <si>
    <t>FCR A 00010-00008157</t>
  </si>
  <si>
    <t>BCO CREDICOOP - PRESTAMO 1752498</t>
  </si>
  <si>
    <t>RB    -11072025</t>
  </si>
  <si>
    <t>FCR A 00005-00654838</t>
  </si>
  <si>
    <t>FCR A 00005-00066994</t>
  </si>
  <si>
    <t>R1    -00032025</t>
  </si>
  <si>
    <t> AUTONOMOS BORIS NG </t>
  </si>
  <si>
    <t>R1    -00092025</t>
  </si>
  <si>
    <t>BORDER S PARKING SRL</t>
  </si>
  <si>
    <t>TIK   00041-00070470</t>
  </si>
  <si>
    <t> MOVILIDAD Y VIATICOS NG </t>
  </si>
  <si>
    <t>FCR A 00013-00098942</t>
  </si>
  <si>
    <t>FCR A 00013-00102886</t>
  </si>
  <si>
    <t>FCR A 00013-00101890</t>
  </si>
  <si>
    <t>FCR A 00013-00101891</t>
  </si>
  <si>
    <t>FCR A 00013-00101892</t>
  </si>
  <si>
    <t>FCR A 00013-00099139</t>
  </si>
  <si>
    <t>FCR A 00013-00101072</t>
  </si>
  <si>
    <t>FCR A 00013-00101169</t>
  </si>
  <si>
    <t>FCR A 00013-00101171</t>
  </si>
  <si>
    <t>FCR A 00013-00098526</t>
  </si>
  <si>
    <t>FCR A 00013-00100402</t>
  </si>
  <si>
    <t>FCR A 00013-00100405</t>
  </si>
  <si>
    <t>FCR A 00013-00098743</t>
  </si>
  <si>
    <t>FCR A 00013-00099639</t>
  </si>
  <si>
    <t>FCR A 00013-00101491</t>
  </si>
  <si>
    <t>FCR A 00013-00101495</t>
  </si>
  <si>
    <t>FCR A 00013-00101497</t>
  </si>
  <si>
    <t>FCR A 00013-00101499</t>
  </si>
  <si>
    <t>FCR A 00013-00101503</t>
  </si>
  <si>
    <t>NC A 00013-00005316</t>
  </si>
  <si>
    <t>FCR A 70019-32583867</t>
  </si>
  <si>
    <t>FCR A 70019-32732921</t>
  </si>
  <si>
    <t>FCR A 00019-32954830</t>
  </si>
  <si>
    <t>FCR A 70019-28792998</t>
  </si>
  <si>
    <t>FCR A 70019-32660718</t>
  </si>
  <si>
    <t>FCR A 70019-32808279</t>
  </si>
  <si>
    <t>FCR A 00003-00004535</t>
  </si>
  <si>
    <t>FCR A 00003-00003806</t>
  </si>
  <si>
    <t>FCR A 00003-00004558</t>
  </si>
  <si>
    <t>FCR A 00003-00003829</t>
  </si>
  <si>
    <t>ALB S-2024.085_Mol.Esm</t>
  </si>
  <si>
    <t>ALB S-2024.096_PTAgua</t>
  </si>
  <si>
    <t>FCR A 00003-00004582</t>
  </si>
  <si>
    <t>FCR A 00003-00003867</t>
  </si>
  <si>
    <t>FCR A 00003-00003868</t>
  </si>
  <si>
    <t>FCR A 00003-00003878</t>
  </si>
  <si>
    <t>FCR A 00003-00004673</t>
  </si>
  <si>
    <t>FCR A 00003-00004490</t>
  </si>
  <si>
    <t>FCR A 00003-00004492</t>
  </si>
  <si>
    <t>FCR A 00003-00004254</t>
  </si>
  <si>
    <t>FCR A 00003-00004272</t>
  </si>
  <si>
    <t>FCR A 00003-00004273</t>
  </si>
  <si>
    <t>FCR A 00003-00004522</t>
  </si>
  <si>
    <t>FCR A 00003-00004006</t>
  </si>
  <si>
    <t>SCHNEIDER S-2025.046_ISE-EBP</t>
  </si>
  <si>
    <t>NCR A 00003-00000052</t>
  </si>
  <si>
    <t>CENTRAL DE PASAJES INC SA</t>
  </si>
  <si>
    <t>TIK   00001-00254177</t>
  </si>
  <si>
    <t>TIK   00001-00442709</t>
  </si>
  <si>
    <t>TIK   00001-00486092</t>
  </si>
  <si>
    <t>TIK   00001-00514343</t>
  </si>
  <si>
    <t>FCR A 00002-00000674</t>
  </si>
  <si>
    <t>FCR A 00002-00000624</t>
  </si>
  <si>
    <t>FCR A 00002-00000725</t>
  </si>
  <si>
    <t>COMBUSTIBLES DEL SALADO S.A.</t>
  </si>
  <si>
    <t>FCR A 00031-00000255</t>
  </si>
  <si>
    <t>FCR A 00031-00000247</t>
  </si>
  <si>
    <t>COMSID SOLUCIONES SRL</t>
  </si>
  <si>
    <t>FCR A 00007-00005696</t>
  </si>
  <si>
    <t>FCR A 00010-00150843</t>
  </si>
  <si>
    <t>FCR A 00010-00151053</t>
  </si>
  <si>
    <t>FCR A 00010-00158870</t>
  </si>
  <si>
    <t>FCR A 00010-00159058</t>
  </si>
  <si>
    <t>FCR A 00010-00154745</t>
  </si>
  <si>
    <t>FCR A 00010-00155066</t>
  </si>
  <si>
    <t>FCR A 00008-00402028</t>
  </si>
  <si>
    <t>FCR A 00008-00402715</t>
  </si>
  <si>
    <t>FCR A 00008-00393208</t>
  </si>
  <si>
    <t>FCR A 00008-00393898</t>
  </si>
  <si>
    <t>FCR A 00008-00413091</t>
  </si>
  <si>
    <t>FCR A 00008-00413584</t>
  </si>
  <si>
    <t>FCR A 00700-02842252</t>
  </si>
  <si>
    <t>FCR A 00700-02909489</t>
  </si>
  <si>
    <t>FCR A 00700-02575869</t>
  </si>
  <si>
    <t>FCR A 00700-02705487</t>
  </si>
  <si>
    <t>FCR A 00700-02774518</t>
  </si>
  <si>
    <t>FCR A 00104-09860635</t>
  </si>
  <si>
    <t>FCR A 00104-10170805</t>
  </si>
  <si>
    <t>FCR A 00104-10510428</t>
  </si>
  <si>
    <t>FCR A 00104-10537644</t>
  </si>
  <si>
    <t>FCR A 00104-10894852</t>
  </si>
  <si>
    <t>FCR A 00104-11242299</t>
  </si>
  <si>
    <t>FCR A 00700-02806472</t>
  </si>
  <si>
    <t>FCR A 00700-02600179</t>
  </si>
  <si>
    <t>FCR A 00700-02661752</t>
  </si>
  <si>
    <t>FCR A 00700-02739298</t>
  </si>
  <si>
    <t>FCR A 00104-09986526</t>
  </si>
  <si>
    <t>FCR A 00104-10058927</t>
  </si>
  <si>
    <t>FCR A 00104-10269490</t>
  </si>
  <si>
    <t>FCR A 00104-10727111</t>
  </si>
  <si>
    <t>FCR A 00104-11072997</t>
  </si>
  <si>
    <t>FCR A 00104-11434707</t>
  </si>
  <si>
    <t>R1    -01881629</t>
  </si>
  <si>
    <t>CORTIGLIONE SRL</t>
  </si>
  <si>
    <t>FCR A 00009-00130559</t>
  </si>
  <si>
    <t>CRIADO RITA GRACIELA</t>
  </si>
  <si>
    <t>FCR A 00001-00003896</t>
  </si>
  <si>
    <t>FCR A 00001-00004159</t>
  </si>
  <si>
    <t>FCR A 00001-00004163</t>
  </si>
  <si>
    <t>FCR A 00001-00003930</t>
  </si>
  <si>
    <t>NC A 00001-00000041</t>
  </si>
  <si>
    <t>NC A 00001-00000042</t>
  </si>
  <si>
    <t>FCR A 00002-00022290</t>
  </si>
  <si>
    <t>FCR A 00002-00022436</t>
  </si>
  <si>
    <t>FCR A 00002-00022863</t>
  </si>
  <si>
    <t>FCR A 00002-00023054</t>
  </si>
  <si>
    <t>FCR A 00002-00022126</t>
  </si>
  <si>
    <t>FCR A 00002-00022723</t>
  </si>
  <si>
    <t>FCR A 00005-00005929</t>
  </si>
  <si>
    <t>FCR C 00002-00000202</t>
  </si>
  <si>
    <t>Mantenimiento/Reparacion</t>
  </si>
  <si>
    <t>FCR A 00020-00007796</t>
  </si>
  <si>
    <t>FCR A 00020-00007900</t>
  </si>
  <si>
    <t>FCR A 00020-00007992</t>
  </si>
  <si>
    <t>FCR A 00020-00008101</t>
  </si>
  <si>
    <t>FCR A 00020-00008211</t>
  </si>
  <si>
    <t>FCR A 00001-00019781</t>
  </si>
  <si>
    <t>FCR A 00001-00020813</t>
  </si>
  <si>
    <t>NCR A 00001-00000907</t>
  </si>
  <si>
    <t>FCR A 00006-00016525</t>
  </si>
  <si>
    <t>FCR A 00005-00056797</t>
  </si>
  <si>
    <t>FCR A 00005-00055465</t>
  </si>
  <si>
    <t>FCR A 00005-00056224</t>
  </si>
  <si>
    <t>FCR A 00005-00058477</t>
  </si>
  <si>
    <t>FCR A 00005-00058478</t>
  </si>
  <si>
    <t>EPLAN SA DE CV</t>
  </si>
  <si>
    <t>FCR I 04179-00004513</t>
  </si>
  <si>
    <t>EQ DIGITAL S.R.L.</t>
  </si>
  <si>
    <t>FCR A 00005-00008840</t>
  </si>
  <si>
    <t>ERROITZARENA CLAUDIO JAVIER</t>
  </si>
  <si>
    <t>FCR A 00002-00001239</t>
  </si>
  <si>
    <t>FCR A 00002-00001240</t>
  </si>
  <si>
    <t>NCR A 00002-00000032</t>
  </si>
  <si>
    <t>ESTACION DE SERVICIO EL CRUCE SA</t>
  </si>
  <si>
    <t>FCR A 00006-00022501</t>
  </si>
  <si>
    <t>FCR A 00019-00009657</t>
  </si>
  <si>
    <t>FCR A 00019-00011120</t>
  </si>
  <si>
    <t>F931</t>
  </si>
  <si>
    <t>R1    -00062025</t>
  </si>
  <si>
    <t>FCR A 00002-00024305</t>
  </si>
  <si>
    <t>FCR A 00002-00024827</t>
  </si>
  <si>
    <t>FCR A 00002-00024829</t>
  </si>
  <si>
    <t>FCR A 00002-00024645</t>
  </si>
  <si>
    <t>FCR A 00002-00024653</t>
  </si>
  <si>
    <t>FCR A 00002-00025135</t>
  </si>
  <si>
    <t>FCR A 00002-00025387</t>
  </si>
  <si>
    <t>FCR A 00002-00025142</t>
  </si>
  <si>
    <t>FCR A 00007-00012481</t>
  </si>
  <si>
    <t>FCR A 00007-00011335</t>
  </si>
  <si>
    <t>FCR A 00007-00013217</t>
  </si>
  <si>
    <t>FCR A 00007-00013218</t>
  </si>
  <si>
    <t>FCR A 00007-00013295</t>
  </si>
  <si>
    <t>FONDO DE COOPERACION TECNICA Y FINANCIER</t>
  </si>
  <si>
    <t>FCR C 00009-05305624</t>
  </si>
  <si>
    <t>FCR C 00005-00000743</t>
  </si>
  <si>
    <t>FCR C 00005-00000744</t>
  </si>
  <si>
    <t>FCR C 00005-00000773</t>
  </si>
  <si>
    <t>FCR C 00005-00000751</t>
  </si>
  <si>
    <t>FCR A 00020-00017128</t>
  </si>
  <si>
    <t>FCR A 00021-00017988</t>
  </si>
  <si>
    <t>FCR A 00004-00024010</t>
  </si>
  <si>
    <t>FCR A 00004-00024205</t>
  </si>
  <si>
    <t>FCR A 00004-00024235</t>
  </si>
  <si>
    <t>FCR A 00006-00021809</t>
  </si>
  <si>
    <t>FCR A 00007-00006377</t>
  </si>
  <si>
    <t>FCR A 00006-00021561</t>
  </si>
  <si>
    <t>FCR A 00028-00029195</t>
  </si>
  <si>
    <t>FCR A 00025-00039946</t>
  </si>
  <si>
    <t>FCR A 00028-00031660</t>
  </si>
  <si>
    <t>FCR A 00025-00037954</t>
  </si>
  <si>
    <t>FCR A 00025-00038061</t>
  </si>
  <si>
    <t>FCR I 00054-22072125</t>
  </si>
  <si>
    <t>R1    -02196943</t>
  </si>
  <si>
    <t>R1    -23106869</t>
  </si>
  <si>
    <t>R1    -04727132</t>
  </si>
  <si>
    <t>R1    -97976938</t>
  </si>
  <si>
    <t>FCR A 00629-06438455</t>
  </si>
  <si>
    <t>FCR A 00629-06307758</t>
  </si>
  <si>
    <t>FCR A 00629-06394282</t>
  </si>
  <si>
    <t>FCR A 00004-00022674</t>
  </si>
  <si>
    <t>FCR C 00005-00000156</t>
  </si>
  <si>
    <t>FCR C 00005-00000166</t>
  </si>
  <si>
    <t>FCR C 00005-00000176</t>
  </si>
  <si>
    <t>FCR C 00005-00000172</t>
  </si>
  <si>
    <t>FCR C 00005-00000163</t>
  </si>
  <si>
    <t>FCR A 10767-00000765</t>
  </si>
  <si>
    <t>FCR A 10735-00000476</t>
  </si>
  <si>
    <t>FCR A 10765-00001159</t>
  </si>
  <si>
    <t>FCR A 10767-00000806</t>
  </si>
  <si>
    <t>FCR A 00035-00026648</t>
  </si>
  <si>
    <t>FCR A 00035-00026826</t>
  </si>
  <si>
    <t>FCR A 00035-00026376</t>
  </si>
  <si>
    <t>INDUSTRIAL CONTROLES</t>
  </si>
  <si>
    <t>FCR A 00002-00020107</t>
  </si>
  <si>
    <t>FCR A 00005-00017854</t>
  </si>
  <si>
    <t>IVA A PAGAR</t>
  </si>
  <si>
    <t>R1    -31082025</t>
  </si>
  <si>
    <t> IMPUESTO IVA </t>
  </si>
  <si>
    <t>FCR A 00003-00008530</t>
  </si>
  <si>
    <t>FCR A 00003-00008691</t>
  </si>
  <si>
    <t>FCR A 00003-00008742</t>
  </si>
  <si>
    <t>FCR A 00003-00008644</t>
  </si>
  <si>
    <t>FCR A 00003-00007100</t>
  </si>
  <si>
    <t>LAS CAVAS SERVICIOS &amp; AGRO S.A</t>
  </si>
  <si>
    <t>FCR A 00030-00002422</t>
  </si>
  <si>
    <t>FCR A 00032-00000430</t>
  </si>
  <si>
    <t> REFRIGERIO PERSONAL NG </t>
  </si>
  <si>
    <t>LBEG SERO SRL</t>
  </si>
  <si>
    <t>FCR A 00001-00033339</t>
  </si>
  <si>
    <t>LE MONT SA</t>
  </si>
  <si>
    <t>FCR A 00011-00000459</t>
  </si>
  <si>
    <t>MANTENIMIENTO VEHICULOS-MAQUIN</t>
  </si>
  <si>
    <t>LEIVA EZEQUIEL LEONARDO</t>
  </si>
  <si>
    <t>FCR C 00001-00000260</t>
  </si>
  <si>
    <t>LINKED SRL</t>
  </si>
  <si>
    <t>R1    -30112025</t>
  </si>
  <si>
    <t>FCR A 00009-00044602</t>
  </si>
  <si>
    <t>FCR A 00009-00046363</t>
  </si>
  <si>
    <t>FCR A 00009-00045529</t>
  </si>
  <si>
    <t>FCR A 00009-00045135</t>
  </si>
  <si>
    <t>FCR A 00015-00002554</t>
  </si>
  <si>
    <t>FCR A 00009-00046758</t>
  </si>
  <si>
    <t>FCR A 00009-00045949</t>
  </si>
  <si>
    <t>FCR A 00009-00044713</t>
  </si>
  <si>
    <t>FCR A 00009-00046060</t>
  </si>
  <si>
    <t>FCR A 00009-00046500</t>
  </si>
  <si>
    <t>FCR A 00009-00044827</t>
  </si>
  <si>
    <t>FCR A 00009-00045196</t>
  </si>
  <si>
    <t>FCR A 00009-00046165</t>
  </si>
  <si>
    <t>FCR A 00009-00046653</t>
  </si>
  <si>
    <t>FCR A 00009-00044966</t>
  </si>
  <si>
    <t>MACAR S SRL</t>
  </si>
  <si>
    <t>FCR A 00004-00085751</t>
  </si>
  <si>
    <t>MALAVE SA</t>
  </si>
  <si>
    <t>FCR A 00001-00001119</t>
  </si>
  <si>
    <t>FCR A 00002-00002024</t>
  </si>
  <si>
    <t>MANETTI WALTER OMAR</t>
  </si>
  <si>
    <t>FCR A 00002-00001968</t>
  </si>
  <si>
    <t>MARINO HORACIO ISMAEL</t>
  </si>
  <si>
    <t>FCR A 00004-00024952</t>
  </si>
  <si>
    <t>FCR C 00003-00000566</t>
  </si>
  <si>
    <t>FCR A 00002-00011454</t>
  </si>
  <si>
    <t>FCR A 00002-00010982</t>
  </si>
  <si>
    <t>FCR A 00004-00010246</t>
  </si>
  <si>
    <t>FCR A 00004-00011219</t>
  </si>
  <si>
    <t>R1    -00082025</t>
  </si>
  <si>
    <t>R1    -01082025</t>
  </si>
  <si>
    <t>R1    -00000004</t>
  </si>
  <si>
    <t>R1    -00000005</t>
  </si>
  <si>
    <t>R1    -00052025</t>
  </si>
  <si>
    <t>MUSMANNO MARCELO ALBERTO</t>
  </si>
  <si>
    <t>FCR A 00007-00077056</t>
  </si>
  <si>
    <t>FCR A 00007-00075505</t>
  </si>
  <si>
    <t>FCR A 00007-00078777</t>
  </si>
  <si>
    <t>FCR A 00007-00078868</t>
  </si>
  <si>
    <t>FCR A 00007-00077407</t>
  </si>
  <si>
    <t>FCR A 00007-00077547</t>
  </si>
  <si>
    <t>FCR A 00007-00077677</t>
  </si>
  <si>
    <t>FCR A 00007-00078428</t>
  </si>
  <si>
    <t>FCR A 00007-00078525</t>
  </si>
  <si>
    <t>FCR A 03099-00506165</t>
  </si>
  <si>
    <t>FCR A 03099-00543374</t>
  </si>
  <si>
    <t>NUÑEZ NELSON RAUL</t>
  </si>
  <si>
    <t>FCR C 00001-00000556</t>
  </si>
  <si>
    <t>FCR C 00001-00000579</t>
  </si>
  <si>
    <t>FCR A 00026-00064461</t>
  </si>
  <si>
    <t>FCR A 00026-00067449</t>
  </si>
  <si>
    <t>FCR A 00026-00064522</t>
  </si>
  <si>
    <t>FCR A 00026-00066082</t>
  </si>
  <si>
    <t>FCR A 00026-00067621</t>
  </si>
  <si>
    <t>FCR A 00026-00063869</t>
  </si>
  <si>
    <t>FCR A 00026-00064025</t>
  </si>
  <si>
    <t>FCR A 00026-00065650</t>
  </si>
  <si>
    <t>FCR A 00026-00066351</t>
  </si>
  <si>
    <t>FCR A 00026-00066365</t>
  </si>
  <si>
    <t>FCR A 00026-00066366</t>
  </si>
  <si>
    <t>FCR A 00026-00066367</t>
  </si>
  <si>
    <t>FCR A 00026-00066381</t>
  </si>
  <si>
    <t>FCR A 00026-00064856</t>
  </si>
  <si>
    <t>FCR A 00026-00064857</t>
  </si>
  <si>
    <t>FCR A 00026-00067136</t>
  </si>
  <si>
    <t>FCR A 00026-00065726</t>
  </si>
  <si>
    <t>FCR A 00026-00064094</t>
  </si>
  <si>
    <t>FCR A 00026-00066464</t>
  </si>
  <si>
    <t>FCR A 00026-00066473</t>
  </si>
  <si>
    <t>FCR A 00026-00065833</t>
  </si>
  <si>
    <t>FCR A 00026-00064274</t>
  </si>
  <si>
    <t>FCR A 00026-00065064</t>
  </si>
  <si>
    <t>FCR A 00026-00065210</t>
  </si>
  <si>
    <t>FCR A 00026-00066707</t>
  </si>
  <si>
    <t>FCR A 00026-00066710</t>
  </si>
  <si>
    <t>NC A 00026-00024290</t>
  </si>
  <si>
    <t>FCR A 02001-00497258</t>
  </si>
  <si>
    <t>FCR A 02001-00479894</t>
  </si>
  <si>
    <t>FCR A 02001-00488788</t>
  </si>
  <si>
    <t>FCR A 00006-00017750</t>
  </si>
  <si>
    <t> GASTOS LIBRERIA E INFORMATICA 10.5% </t>
  </si>
  <si>
    <t>FCR C 00003-00000384</t>
  </si>
  <si>
    <t>FCR C 00003-00000410</t>
  </si>
  <si>
    <t>FCR C 00003-00000444</t>
  </si>
  <si>
    <t>FCR C 00003-00000357</t>
  </si>
  <si>
    <t>FCR C 00003-00000421</t>
  </si>
  <si>
    <t>NC C 00003-00000015</t>
  </si>
  <si>
    <t>NC C 00003-00000014</t>
  </si>
  <si>
    <t>FCR A 09044-00040318</t>
  </si>
  <si>
    <t>FCR A 07644-00032895</t>
  </si>
  <si>
    <t>FCR A 08304-00047763</t>
  </si>
  <si>
    <t>FCR A 00012-00041666</t>
  </si>
  <si>
    <t>FCR A 08012-00042400</t>
  </si>
  <si>
    <t>FCR A 08014-00048167</t>
  </si>
  <si>
    <t>FCR A 08012-00044174</t>
  </si>
  <si>
    <t>FCR A 07142-00003174</t>
  </si>
  <si>
    <t>FCR A 09050-00003190</t>
  </si>
  <si>
    <t>FCR A 08306-00042597</t>
  </si>
  <si>
    <t>FCR A 07556-00037049</t>
  </si>
  <si>
    <t>FCR A 08306-00044414</t>
  </si>
  <si>
    <t>FCR A 07644-00032787</t>
  </si>
  <si>
    <t>FCR A 07990-00041519</t>
  </si>
  <si>
    <t>FCR A 08016-00036789</t>
  </si>
  <si>
    <t>PAGANI SA</t>
  </si>
  <si>
    <t>FCR A 00005-00052073</t>
  </si>
  <si>
    <t>FCR A 00005-00052676</t>
  </si>
  <si>
    <t>NCR A 00010-00002505</t>
  </si>
  <si>
    <t>FCR A 00006-00016816</t>
  </si>
  <si>
    <t>FCR A 00006-00017064</t>
  </si>
  <si>
    <t>FCR A 00006-00016520</t>
  </si>
  <si>
    <t>FCR A 00006-00016772</t>
  </si>
  <si>
    <t>FCR A 00003-00043763</t>
  </si>
  <si>
    <t>FCR A 00003-00045955</t>
  </si>
  <si>
    <t>FCR A 00003-00045089</t>
  </si>
  <si>
    <t>FCR A 00003-00044388</t>
  </si>
  <si>
    <t>FCR A 00003-00045703</t>
  </si>
  <si>
    <t>FCR A 00003-00044459</t>
  </si>
  <si>
    <t>PORTAU COMBUSTIBLES SA</t>
  </si>
  <si>
    <t>FCR A 00025-00021583</t>
  </si>
  <si>
    <t>FCR A 00006-00063219</t>
  </si>
  <si>
    <t>FCR A 00006-00063649</t>
  </si>
  <si>
    <t>FCR A 00006-00064626</t>
  </si>
  <si>
    <t>FCR A 00006-00064636</t>
  </si>
  <si>
    <t>FCR A 00006-00064764</t>
  </si>
  <si>
    <t>FCR A 00006-00063437</t>
  </si>
  <si>
    <t>FCR A 00006-00064281</t>
  </si>
  <si>
    <t> COMPRA MATERIALES - PROYECTOS E INVESTIG 21% </t>
  </si>
  <si>
    <t>FCR A 00006-00064448</t>
  </si>
  <si>
    <t>FCR A 00006-00064540</t>
  </si>
  <si>
    <t>NDR A 00006-00025505</t>
  </si>
  <si>
    <t>FCR A 00001-00170076</t>
  </si>
  <si>
    <t>FCR A 00001-10797852</t>
  </si>
  <si>
    <t>FCR A 00001-00170619</t>
  </si>
  <si>
    <t>QUIWI S R L</t>
  </si>
  <si>
    <t>FCR A 00009-00033699</t>
  </si>
  <si>
    <t>RECMIL SA</t>
  </si>
  <si>
    <t>FCR A 00031-00004970</t>
  </si>
  <si>
    <t>FCR A 00031-00004972</t>
  </si>
  <si>
    <t>FCR A 00031-00004000</t>
  </si>
  <si>
    <t>FCR A 00031-00004059</t>
  </si>
  <si>
    <t>FCR A 00014-00068338</t>
  </si>
  <si>
    <t>FCR A 00014-00069130</t>
  </si>
  <si>
    <t>FCR A 00014-00069925</t>
  </si>
  <si>
    <t>FCR A 00014-00070599</t>
  </si>
  <si>
    <t>FCR A 00014-00071380</t>
  </si>
  <si>
    <t>RELET SRL</t>
  </si>
  <si>
    <t>FCR A 00003-00102536</t>
  </si>
  <si>
    <t>FCR A 00003-00102564</t>
  </si>
  <si>
    <t>FCR A 00003-00108911</t>
  </si>
  <si>
    <t>FCR A 00003-00103994</t>
  </si>
  <si>
    <t>FCR A 00003-00106606</t>
  </si>
  <si>
    <t>FCR A 00003-00106758</t>
  </si>
  <si>
    <t>FCR A 00003-00109357</t>
  </si>
  <si>
    <t>FCR A 00003-00105790</t>
  </si>
  <si>
    <t>FCR A 00003-00104581</t>
  </si>
  <si>
    <t>FCR A 00003-00107597</t>
  </si>
  <si>
    <t>NC A 00003-00011140</t>
  </si>
  <si>
    <t>ND A 00003-00004522</t>
  </si>
  <si>
    <t>ND A 00003-00004537</t>
  </si>
  <si>
    <t>ND A 00003-00004294</t>
  </si>
  <si>
    <t>NDR A 00003-00004457</t>
  </si>
  <si>
    <t>NDR A 00003-00004458</t>
  </si>
  <si>
    <t>FCR A 00001-00003878</t>
  </si>
  <si>
    <t>FCR A 00001-00003819</t>
  </si>
  <si>
    <t>FCR A 00001-00003826</t>
  </si>
  <si>
    <t>FCR A 00001-00003846</t>
  </si>
  <si>
    <t>FCR A 00001-00003889</t>
  </si>
  <si>
    <t>FCR A 00001-00003892</t>
  </si>
  <si>
    <t>FCR A 00001-00066379</t>
  </si>
  <si>
    <t>SECONDI JOSEFINA</t>
  </si>
  <si>
    <t>FCR C 00001-00000308</t>
  </si>
  <si>
    <t> GASTOS ADMINISTRATIVOS NG </t>
  </si>
  <si>
    <t>ADMINISTRACION GENERAL</t>
  </si>
  <si>
    <t>SEGUNDA GENERACION SRL</t>
  </si>
  <si>
    <t>FCR A 00009-00004537</t>
  </si>
  <si>
    <t>SEITZ FRANCO EZEQUIEL</t>
  </si>
  <si>
    <t>FCR C 00002-00000034</t>
  </si>
  <si>
    <t>SERMATEL S.A.</t>
  </si>
  <si>
    <t>FCR A 00002-00019649</t>
  </si>
  <si>
    <t>SICORE A PAGAR</t>
  </si>
  <si>
    <t> IMPUESTO SICORE </t>
  </si>
  <si>
    <t>FCR A 00011-00035416</t>
  </si>
  <si>
    <t>FCR A 00011-00032483</t>
  </si>
  <si>
    <t>FCR A 00011-00032495</t>
  </si>
  <si>
    <t>FCR A 00011-00034195</t>
  </si>
  <si>
    <t>FCR A 00011-00031920</t>
  </si>
  <si>
    <t>FCR A 00011-00031983</t>
  </si>
  <si>
    <t>FCR A 00008-00283817</t>
  </si>
  <si>
    <t>FCR A 00008-00275976</t>
  </si>
  <si>
    <t>FCR A 00008-00278118</t>
  </si>
  <si>
    <t>FCR A 00008-00281305</t>
  </si>
  <si>
    <t>FCR A 00008-00270117</t>
  </si>
  <si>
    <t>FCR A 00008-00270784</t>
  </si>
  <si>
    <t>SUELDOS Y JORNALES A PAGAR M</t>
  </si>
  <si>
    <t>R1    -00102025</t>
  </si>
  <si>
    <t> SUELDOS Y JORNALES NG </t>
  </si>
  <si>
    <t>SUELDOS Y JORNALES A PAGAR Q</t>
  </si>
  <si>
    <t>R1    -16072025</t>
  </si>
  <si>
    <t>R1    -23072025</t>
  </si>
  <si>
    <t>R1    -29092025</t>
  </si>
  <si>
    <t>FCR A 00004-00019371</t>
  </si>
  <si>
    <t>FCR A 00004-00019502</t>
  </si>
  <si>
    <t>FCR A 00004-00020209</t>
  </si>
  <si>
    <t>FCR A 03099-00571010</t>
  </si>
  <si>
    <t>FCR A 03099-00585095</t>
  </si>
  <si>
    <t>FCR A 03099-00624306</t>
  </si>
  <si>
    <t>FCR A 03099-00650925</t>
  </si>
  <si>
    <t>FCR A 02467-01372477</t>
  </si>
  <si>
    <t>FCR A 02467-01400347</t>
  </si>
  <si>
    <t>FCR A 02467-01413683</t>
  </si>
  <si>
    <t>FCR A 02467-01433543</t>
  </si>
  <si>
    <t>FCR A 02467-01452088</t>
  </si>
  <si>
    <t>R1    -00256333</t>
  </si>
  <si>
    <t>R1    -00822475</t>
  </si>
  <si>
    <t>R1    -25072025</t>
  </si>
  <si>
    <t>R1    -00903656</t>
  </si>
  <si>
    <t>R1    -06131963</t>
  </si>
  <si>
    <t>R1    -25112025</t>
  </si>
  <si>
    <t>R1    -31102025</t>
  </si>
  <si>
    <t>TERRAPETROL S.A.</t>
  </si>
  <si>
    <t>FCR A 00004-00011560</t>
  </si>
  <si>
    <t>FCR A 00003-00001795</t>
  </si>
  <si>
    <t>FCR A 00013-00002744</t>
  </si>
  <si>
    <t>FCR A 00005-00011220</t>
  </si>
  <si>
    <t>FCR A 00005-00011675</t>
  </si>
  <si>
    <t>FCR A 00005-00011312</t>
  </si>
  <si>
    <t>FCR A 00005-00011324</t>
  </si>
  <si>
    <t>FCR A 00004-00003102</t>
  </si>
  <si>
    <t>FCR A 00004-00002996</t>
  </si>
  <si>
    <t>FCR A 00004-00002825</t>
  </si>
  <si>
    <t>FCR A 00002-00008557</t>
  </si>
  <si>
    <t>FCR A 00002-00008777</t>
  </si>
  <si>
    <t>FCR A 00002-00008437</t>
  </si>
  <si>
    <t>FCR A 00002-00008451</t>
  </si>
  <si>
    <t>FCR A 00002-00008703</t>
  </si>
  <si>
    <t>FCR A 00002-00008923</t>
  </si>
  <si>
    <t>FCR A 00002-00008361</t>
  </si>
  <si>
    <t>FCR A 00002-00008379</t>
  </si>
  <si>
    <t>FCR A 00002-00008629</t>
  </si>
  <si>
    <t>FCR A 00002-00008506</t>
  </si>
  <si>
    <t>FCR A 00002-00008739</t>
  </si>
  <si>
    <t>FCR A 00002-00008865</t>
  </si>
  <si>
    <t>FCR A 00002-00008638</t>
  </si>
  <si>
    <t>FCR A 00002-00008744</t>
  </si>
  <si>
    <t>FCR A 00002-00008390</t>
  </si>
  <si>
    <t>FCR A 00002-00008749</t>
  </si>
  <si>
    <t>FCR A 00002-00008755</t>
  </si>
  <si>
    <t>FCR A 00002-00008650</t>
  </si>
  <si>
    <t>FCR A 00002-00008534</t>
  </si>
  <si>
    <t>FCR A 00002-00008405</t>
  </si>
  <si>
    <t>FCR A 00005-00005779</t>
  </si>
  <si>
    <t>FCR A 00005-00005678</t>
  </si>
  <si>
    <t>FCR A 00005-00005577</t>
  </si>
  <si>
    <t>FCR A 00005-00005740</t>
  </si>
  <si>
    <t>FCR C 00002-00001337</t>
  </si>
  <si>
    <t>FCR C 00002-00001204</t>
  </si>
  <si>
    <t>FCR A 00014-00002603</t>
  </si>
  <si>
    <t>FCR A 00012-00009250</t>
  </si>
  <si>
    <t>FCR A 00012-00007870</t>
  </si>
  <si>
    <t>FCR A 00011-00029264</t>
  </si>
  <si>
    <t>FCR A 00011-00029283</t>
  </si>
  <si>
    <t>FCR A 00012-00006652</t>
  </si>
  <si>
    <t>FCR A 00011-00029805</t>
  </si>
  <si>
    <t>FCR A 00012-00009544</t>
  </si>
  <si>
    <t>FCR A 00012-00008248</t>
  </si>
  <si>
    <t>FCR A 00016-00000271</t>
  </si>
  <si>
    <t>FCR A 00013-00030790</t>
  </si>
  <si>
    <t>FCR A 00014-00002654</t>
  </si>
  <si>
    <t>FCR A 00011-00029636</t>
  </si>
  <si>
    <t>FCR A 00012-00008583</t>
  </si>
  <si>
    <t>FCR A 00012-00011620</t>
  </si>
  <si>
    <t>FCR A 00011-00029691</t>
  </si>
  <si>
    <t>FCR A 00013-00031335</t>
  </si>
  <si>
    <t>FCR A 00011-00029702</t>
  </si>
  <si>
    <t>FCR A 00012-00008925</t>
  </si>
  <si>
    <t>FCR A 00012-00011958</t>
  </si>
  <si>
    <t>FCR A 00011-00029445</t>
  </si>
  <si>
    <t>FCR A 00014-00002929</t>
  </si>
  <si>
    <t>FCR A 00012-00001700</t>
  </si>
  <si>
    <t>FCR A 00012-00001390</t>
  </si>
  <si>
    <t>Casino Club Adicionales Sin Pr</t>
  </si>
  <si>
    <t>FCR A 00012-00001328</t>
  </si>
  <si>
    <t>FCR A 00012-00001496</t>
  </si>
  <si>
    <t>FCR A 00012-00001576</t>
  </si>
  <si>
    <t>FCR A 00012-00001497</t>
  </si>
  <si>
    <t>FCR A 00012-00001587</t>
  </si>
  <si>
    <t>FCR A 00012-00001416</t>
  </si>
  <si>
    <t>FCR A 00012-00001592</t>
  </si>
  <si>
    <t>FCR A 00012-00001352</t>
  </si>
  <si>
    <t>FCR A 00012-00001522</t>
  </si>
  <si>
    <t>FCR A 00012-00001438</t>
  </si>
  <si>
    <t>FCR A 00012-00001372</t>
  </si>
  <si>
    <t>FCR A 00012-00001373</t>
  </si>
  <si>
    <t>FCR A 00012-00001374</t>
  </si>
  <si>
    <t>NC A 00012-00000228</t>
  </si>
  <si>
    <t>NCR A 00012-00000270</t>
  </si>
  <si>
    <t>NCR A 00012-00000249</t>
  </si>
  <si>
    <t>NDR A 00080-00032561</t>
  </si>
  <si>
    <t>FCI A 01993-00238054</t>
  </si>
  <si>
    <t>FCI A 01993-00011805</t>
  </si>
  <si>
    <t>FCR A 00064-00038731</t>
  </si>
  <si>
    <t>FCR A 00064-00039485</t>
  </si>
  <si>
    <t>FCR C 00003-00013349</t>
  </si>
  <si>
    <t>FCR C 00003-00013458</t>
  </si>
  <si>
    <t>FCR C 00003-00013242</t>
  </si>
  <si>
    <t>FCR A 05016-01130626</t>
  </si>
  <si>
    <t>AVETTA</t>
  </si>
  <si>
    <t>R1    -02231768</t>
  </si>
  <si>
    <t>AYESTARAN LUCAS EDUARDO</t>
  </si>
  <si>
    <t>FCR A 00002-00000600</t>
  </si>
  <si>
    <t>NC A 00002-00000047</t>
  </si>
  <si>
    <t>FCR A 00008-00072568</t>
  </si>
  <si>
    <t>FCR A 00010-00009313</t>
  </si>
  <si>
    <t>FCR A 00010-00009349</t>
  </si>
  <si>
    <t>FCR A 00010-00009366</t>
  </si>
  <si>
    <t>FCR A 00010-00009202</t>
  </si>
  <si>
    <t>BETZ JULIANA</t>
  </si>
  <si>
    <t>FCR A 00002-00000637</t>
  </si>
  <si>
    <t> GASTOS VARIOS NG </t>
  </si>
  <si>
    <t>FCR A 00013-00104575</t>
  </si>
  <si>
    <t>FCR A 00013-00103756</t>
  </si>
  <si>
    <t>FCR A 00013-00103832</t>
  </si>
  <si>
    <t>FCR A 00013-00103834</t>
  </si>
  <si>
    <t>FCR A 00013-00104662</t>
  </si>
  <si>
    <t>FCR A 00013-00103161</t>
  </si>
  <si>
    <t>FCR A 00013-00104181</t>
  </si>
  <si>
    <t>FCR A 00013-00105067</t>
  </si>
  <si>
    <t>FCR A 00013-00105069</t>
  </si>
  <si>
    <t>FCR A 00013-00104300</t>
  </si>
  <si>
    <t>FCR A 00013-00104302</t>
  </si>
  <si>
    <t>FCR A 00013-00103525</t>
  </si>
  <si>
    <t>NC A 00013-00005604</t>
  </si>
  <si>
    <t>NC A 00013-00005643</t>
  </si>
  <si>
    <t>BRUCAN COMBUSTIBLE</t>
  </si>
  <si>
    <t>FCR A 00004-00030894</t>
  </si>
  <si>
    <t>FCR A 00004-00031600</t>
  </si>
  <si>
    <t>RB    -00000196</t>
  </si>
  <si>
    <t> DEBITOS BANCARIOS NG </t>
  </si>
  <si>
    <t>FCR A 00019-33102012</t>
  </si>
  <si>
    <t>FCR A 70019-33027559</t>
  </si>
  <si>
    <t>FCR A 00003-00005683</t>
  </si>
  <si>
    <t>FCR A 00003-00005598</t>
  </si>
  <si>
    <t>FCR A 00003-00005624</t>
  </si>
  <si>
    <t>FCR A 00031-00001122</t>
  </si>
  <si>
    <t>FCR A 00030-00000839</t>
  </si>
  <si>
    <t>FCR A 00010-00162847</t>
  </si>
  <si>
    <t>FCR A 00010-00163061</t>
  </si>
  <si>
    <t>FCR A 00008-00421707</t>
  </si>
  <si>
    <t>FCR A 00008-00422381</t>
  </si>
  <si>
    <t>FCR A 00104-11940636</t>
  </si>
  <si>
    <t>FCR A 00104-12483634</t>
  </si>
  <si>
    <t>FCR A 00104-11675377</t>
  </si>
  <si>
    <t>FCR A 00700-02942397</t>
  </si>
  <si>
    <t>FCR A 00104-12772193</t>
  </si>
  <si>
    <t>FCR A 00700-03085044</t>
  </si>
  <si>
    <t>FCR A 00104-11713252</t>
  </si>
  <si>
    <t>FCR A 00104-12331520</t>
  </si>
  <si>
    <t>CORREO ANDREANI SA</t>
  </si>
  <si>
    <t>FCR A 02623-00009606</t>
  </si>
  <si>
    <t>FCR A 00002-00023300</t>
  </si>
  <si>
    <t>FCR A 00002-00023514</t>
  </si>
  <si>
    <t>DAKOTA SHOPS S.R.L.</t>
  </si>
  <si>
    <t>FCR A 00004-00001360</t>
  </si>
  <si>
    <t>DE DINO DARIO HUMBERTO</t>
  </si>
  <si>
    <t>FCR A 00009-00004230</t>
  </si>
  <si>
    <t>FCR A 00020-00008289</t>
  </si>
  <si>
    <t>FCR A 00020-00008394</t>
  </si>
  <si>
    <t>FCR A 00020-00008471</t>
  </si>
  <si>
    <t>FCR A 00001-00023150</t>
  </si>
  <si>
    <t>FCR A 00001-00022273</t>
  </si>
  <si>
    <t>FCR A 00280-01630814</t>
  </si>
  <si>
    <t>FCR A 00280-01631505</t>
  </si>
  <si>
    <t>FCR I 00001-19576469</t>
  </si>
  <si>
    <t>FCR I 00001-19684961</t>
  </si>
  <si>
    <t>FCR A 00005-00059926</t>
  </si>
  <si>
    <t>FCR A 00005-00058900</t>
  </si>
  <si>
    <t>FCR A 00005-00060093</t>
  </si>
  <si>
    <t>FCR A 00005-00058970</t>
  </si>
  <si>
    <t>FCR A 00005-00059652</t>
  </si>
  <si>
    <t>FCR A 00005-00059653</t>
  </si>
  <si>
    <t>FCR A 00005-00059026</t>
  </si>
  <si>
    <t>DISTRIBUIDORA SABATINI SRL</t>
  </si>
  <si>
    <t>FCR A 00009-00001751</t>
  </si>
  <si>
    <t>FCR A 00002-00458820</t>
  </si>
  <si>
    <t>DUK CATAMARCA S. R. L.</t>
  </si>
  <si>
    <t>FCR A 00001-00000011</t>
  </si>
  <si>
    <t>EL UNICO S A</t>
  </si>
  <si>
    <t>FCR A 00014-00016169</t>
  </si>
  <si>
    <t>ELECTRICIDAD SERRANO SA</t>
  </si>
  <si>
    <t>FCR A 00022-00040847</t>
  </si>
  <si>
    <t>ELECTRO MB SRL</t>
  </si>
  <si>
    <t>FCR A 00001-00033395</t>
  </si>
  <si>
    <t>FCR A 00001-00033412</t>
  </si>
  <si>
    <t>ERRECABORDE CLAUDIA ANDREA</t>
  </si>
  <si>
    <t>FCR A 00001-00004015</t>
  </si>
  <si>
    <t>FCR A 00004-00020241</t>
  </si>
  <si>
    <t>FCR A 00002-00025544</t>
  </si>
  <si>
    <t>FCR A 00007-00014557</t>
  </si>
  <si>
    <t>G &amp; G INTERNACIONAL S.A.</t>
  </si>
  <si>
    <t>FCR A 00014-00009032</t>
  </si>
  <si>
    <t>R1    -14009032</t>
  </si>
  <si>
    <t>FCR A 00025-00041755</t>
  </si>
  <si>
    <t>FCR A 00033-00021409</t>
  </si>
  <si>
    <t>FCR A 00025-00041942</t>
  </si>
  <si>
    <t>FCR A 00025-00043680</t>
  </si>
  <si>
    <t>FCR I 05498-00801843</t>
  </si>
  <si>
    <t>FCR I 05472-00805517</t>
  </si>
  <si>
    <t>FCR I 05452-00626068</t>
  </si>
  <si>
    <t>FCR A 00004-00025101</t>
  </si>
  <si>
    <t>FCR A 00004-00024636</t>
  </si>
  <si>
    <t>FCR A 00004-00024669</t>
  </si>
  <si>
    <t>NC A 00004-00001062</t>
  </si>
  <si>
    <t>FCR C 00005-00000186</t>
  </si>
  <si>
    <t>FCR C 00005-00000192</t>
  </si>
  <si>
    <t>FCR C 00005-00000182</t>
  </si>
  <si>
    <t>HOYOS Y CIA SOCIEDAD DE RESPONSABILIDAD</t>
  </si>
  <si>
    <t>FCR A 00014-00007749</t>
  </si>
  <si>
    <t>HY-TECH INDUSTRIAL CO.,LIMITED</t>
  </si>
  <si>
    <t>FCR I 00001-00011805</t>
  </si>
  <si>
    <t>R1    -00011805</t>
  </si>
  <si>
    <t>FCR A 10769-00000143</t>
  </si>
  <si>
    <t>FCR A 00035-00026974</t>
  </si>
  <si>
    <t>FCR A 00035-00026984</t>
  </si>
  <si>
    <t>FCR A 00003-00008902</t>
  </si>
  <si>
    <t>FCR A 00003-00008951</t>
  </si>
  <si>
    <t>FCR A 00003-00008843</t>
  </si>
  <si>
    <t>FCR A 00003-00007341</t>
  </si>
  <si>
    <t>FCR A 00003-00007218</t>
  </si>
  <si>
    <t>LB FINANZAS SOCIEDAD ANONIMA</t>
  </si>
  <si>
    <t>R1    -02022026</t>
  </si>
  <si>
    <t> GASTOS DE COMERCIALIZACION NG </t>
  </si>
  <si>
    <t>R1    -26000559</t>
  </si>
  <si>
    <t>R1    -00004513</t>
  </si>
  <si>
    <t>R1    -00022026</t>
  </si>
  <si>
    <t>R1    -00238054</t>
  </si>
  <si>
    <t>R1    -20012026</t>
  </si>
  <si>
    <t>FCR A 00009-00047105</t>
  </si>
  <si>
    <t>FCR A 00009-00047543</t>
  </si>
  <si>
    <t>FCR A 00009-00047241</t>
  </si>
  <si>
    <t>FCR A 00009-00047661</t>
  </si>
  <si>
    <t>FCR A 00015-00003094</t>
  </si>
  <si>
    <t>FCR A 00009-00046931</t>
  </si>
  <si>
    <t>FCR A 00015-00002961</t>
  </si>
  <si>
    <t>FCR A 00006-00052586</t>
  </si>
  <si>
    <t>FCR A 00009-00047342</t>
  </si>
  <si>
    <t>FCR A 00015-00003048</t>
  </si>
  <si>
    <t>FCR A 00009-00047021</t>
  </si>
  <si>
    <t>MARTINEZ CARLOS ALBERTO</t>
  </si>
  <si>
    <t>FCR C 00002-00000215</t>
  </si>
  <si>
    <t>FCR C 00002-00000221</t>
  </si>
  <si>
    <t>FCR C 00002-00000219</t>
  </si>
  <si>
    <t>FCR A 00004-00012009</t>
  </si>
  <si>
    <t>MORSHOP S.R.L.</t>
  </si>
  <si>
    <t>FCR A 00006-00057270</t>
  </si>
  <si>
    <t>FCR A 00006-00057271</t>
  </si>
  <si>
    <t>FCR A 00007-00080020</t>
  </si>
  <si>
    <t>FCR A 00007-00080177</t>
  </si>
  <si>
    <t>FCR A 00007-00080447</t>
  </si>
  <si>
    <t>FCR A 00007-00080510</t>
  </si>
  <si>
    <t>FCR C 00001-00000598</t>
  </si>
  <si>
    <t>FCR A 00026-00068777</t>
  </si>
  <si>
    <t>FCR A 00026-00068135</t>
  </si>
  <si>
    <t>FCR A 00028-00062753</t>
  </si>
  <si>
    <t>FCR A 00028-00062754</t>
  </si>
  <si>
    <t>FCR A 00026-00068191</t>
  </si>
  <si>
    <t>FCR A 00026-00068196</t>
  </si>
  <si>
    <t>FCR A 00026-00068931</t>
  </si>
  <si>
    <t>FCR A 00026-00068950</t>
  </si>
  <si>
    <t>FCR A 00026-00068951</t>
  </si>
  <si>
    <t>FCR A 00026-00068997</t>
  </si>
  <si>
    <t>FCR A 00028-00062028</t>
  </si>
  <si>
    <t>FCR A 00026-00067929</t>
  </si>
  <si>
    <t>FCR A 00026-00067930</t>
  </si>
  <si>
    <t>FCR A 00026-00069117</t>
  </si>
  <si>
    <t>FCR A 00026-00068485</t>
  </si>
  <si>
    <t>FCR A 00026-00068486</t>
  </si>
  <si>
    <t>FCR A 08012-00045003</t>
  </si>
  <si>
    <t>ORSATTI EMILIANO GASCON</t>
  </si>
  <si>
    <t>FCR C 00001-00000011</t>
  </si>
  <si>
    <t>FCR C 00001-00000009</t>
  </si>
  <si>
    <t>FCR A 00015-00000017</t>
  </si>
  <si>
    <t>FCR A 00005-00053141</t>
  </si>
  <si>
    <t>FCR A 00006-00017474</t>
  </si>
  <si>
    <t>FCR A 00006-00017688</t>
  </si>
  <si>
    <t>FCR A 00006-00017468</t>
  </si>
  <si>
    <t>PASCUA S.A.</t>
  </si>
  <si>
    <t>FCR A 00044-00026433</t>
  </si>
  <si>
    <t>FCR A 00003-00046215</t>
  </si>
  <si>
    <t>FCR A 00003-00046030</t>
  </si>
  <si>
    <t>PEREZ MARIA DE LOS ANGELES</t>
  </si>
  <si>
    <t>FCR A 00002-00003978</t>
  </si>
  <si>
    <t> SERVICIO DE LIMPIEZA AL 21% </t>
  </si>
  <si>
    <t>FCR A 00002-00003938</t>
  </si>
  <si>
    <t>FCR A 00021-00021734</t>
  </si>
  <si>
    <t>FCR A 00006-00066267</t>
  </si>
  <si>
    <t>FCR A 00006-00065887</t>
  </si>
  <si>
    <t>FCR A 00006-00065888</t>
  </si>
  <si>
    <t>FCR A 00006-00065610</t>
  </si>
  <si>
    <t>FCR A 00006-00065611</t>
  </si>
  <si>
    <t>FCR A 00006-00065968</t>
  </si>
  <si>
    <t>FCR A 00006-00066118</t>
  </si>
  <si>
    <t>FCR A 00006-00065767</t>
  </si>
  <si>
    <t>NDR A 00006-00027233</t>
  </si>
  <si>
    <t>NDR A 00006-00026889</t>
  </si>
  <si>
    <t>FCR A 00005-10797852</t>
  </si>
  <si>
    <t>FCR A 00001-00173073</t>
  </si>
  <si>
    <t>FCR A 00006-10797852</t>
  </si>
  <si>
    <t>NC A 00001-10797852</t>
  </si>
  <si>
    <t>FCR A 00014-00072385</t>
  </si>
  <si>
    <t>FCR A 00014-00073221</t>
  </si>
  <si>
    <t>FCR A 00014-00073678</t>
  </si>
  <si>
    <t>FCR A 00001-00003923</t>
  </si>
  <si>
    <t>FCR A 00001-00003960</t>
  </si>
  <si>
    <t>RITTAL. LTDA</t>
  </si>
  <si>
    <t>FCR I 00001-00238054</t>
  </si>
  <si>
    <t>RS COMPONENTS LTD</t>
  </si>
  <si>
    <t>FCR I 00002-21429604</t>
  </si>
  <si>
    <t>SALOMON LUIS HORACIO</t>
  </si>
  <si>
    <t>FCR A 00002-00010029</t>
  </si>
  <si>
    <t>FCR A 00006-00079512</t>
  </si>
  <si>
    <t>FCR A 00002-00019817</t>
  </si>
  <si>
    <t>R1    -45514785</t>
  </si>
  <si>
    <t>R1    -45514786</t>
  </si>
  <si>
    <t>FCR A 00011-00035592</t>
  </si>
  <si>
    <t>FCR A 00011-00036663</t>
  </si>
  <si>
    <t>FCR A 00011-00037409</t>
  </si>
  <si>
    <t>FCR A 00008-00286847</t>
  </si>
  <si>
    <t>FCR A 00008-00289414</t>
  </si>
  <si>
    <t>SOLUCIONES EN HERRAMIENTAS CTL</t>
  </si>
  <si>
    <t>FCR A 00010-00007140</t>
  </si>
  <si>
    <t>FCR A 00010-00007371</t>
  </si>
  <si>
    <t>FCR A 00010-00007278</t>
  </si>
  <si>
    <t>FCR A 00010-00007279</t>
  </si>
  <si>
    <t>TAVERNA MARIO E HIJOS</t>
  </si>
  <si>
    <t>FCR A 00002-00073258</t>
  </si>
  <si>
    <t>FCR A 00004-00020729</t>
  </si>
  <si>
    <t>FCR A 00004-00020733</t>
  </si>
  <si>
    <t>FCR A 03099-00669453</t>
  </si>
  <si>
    <t>FCR A 03099-00686335</t>
  </si>
  <si>
    <t>FCR A 03099-00716729</t>
  </si>
  <si>
    <t>FCR A 02467-01483316</t>
  </si>
  <si>
    <t>FCR A 02467-01495246</t>
  </si>
  <si>
    <t>FCR A 02467-01466608</t>
  </si>
  <si>
    <t>R1    -00141839</t>
  </si>
  <si>
    <t>R1    -25122025</t>
  </si>
  <si>
    <t>R1    -01260945</t>
  </si>
  <si>
    <t>R1    -07400962</t>
  </si>
  <si>
    <t>R1    -02023150</t>
  </si>
  <si>
    <t>R1    -06542015</t>
  </si>
  <si>
    <t>FCR A 00021-00000813</t>
  </si>
  <si>
    <t>FCR A 00004-00003165</t>
  </si>
  <si>
    <t>FCR A 00004-00003231</t>
  </si>
  <si>
    <t>FCR A 00002-00008990</t>
  </si>
  <si>
    <t>FCR A 00002-00009103</t>
  </si>
  <si>
    <t>FCR A 00002-00008999</t>
  </si>
  <si>
    <t>FCR A 00002-00008963</t>
  </si>
  <si>
    <t>FCR A 00002-00009038</t>
  </si>
  <si>
    <t>FCR A 00002-00009120</t>
  </si>
  <si>
    <t>FCR A 00005-00005894</t>
  </si>
  <si>
    <t>FCR A 00005-00005814</t>
  </si>
  <si>
    <t>FCR A 00005-00005867</t>
  </si>
  <si>
    <t>FCR A 00002-00022623</t>
  </si>
  <si>
    <t>FCR A 00002-00022658</t>
  </si>
  <si>
    <t>NDR A 00002-00003471</t>
  </si>
  <si>
    <t>FCR A 00011-00030296</t>
  </si>
  <si>
    <t>FCR A 00012-00013116</t>
  </si>
  <si>
    <t>VALDI EDUARDO JOSE</t>
  </si>
  <si>
    <t>FCR A 00007-00000630</t>
  </si>
  <si>
    <t>FCR A 00012-00001747</t>
  </si>
  <si>
    <t>FCR A 00012-00001757</t>
  </si>
  <si>
    <t>FCR A 00012-00001820</t>
  </si>
  <si>
    <t>VICENTE MARISA SANDRA</t>
  </si>
  <si>
    <t>FCR A 00006-00004242</t>
  </si>
  <si>
    <t>VIMELEC S.A.</t>
  </si>
  <si>
    <t>FCR A 00003-00006254</t>
  </si>
  <si>
    <t>FCR A 00003-00006275</t>
  </si>
  <si>
    <t>WUXI DEKONG TECHNOLOGY CO., LTD.</t>
  </si>
  <si>
    <t>FCR I 00002-02601056</t>
  </si>
  <si>
    <t>ZAMPINI GUILLERMO MARTIN</t>
  </si>
  <si>
    <t>FCR A 00004-00042050</t>
  </si>
  <si>
    <t>FCR A 00035-00017778</t>
  </si>
  <si>
    <t>FCR A 00035-00017793</t>
  </si>
  <si>
    <t>FCR A 00029-00031367</t>
  </si>
  <si>
    <t>FCR A 00031-00060635</t>
  </si>
  <si>
    <t>FCR A 00029-00031375</t>
  </si>
  <si>
    <t>FCR A 00031-00061191</t>
  </si>
  <si>
    <t>FCR A 00035-00017907</t>
  </si>
  <si>
    <t>FCR A 00032-00047895</t>
  </si>
  <si>
    <t>FCR A 00035-00017740</t>
  </si>
  <si>
    <t>FCR A 00035-00017746</t>
  </si>
  <si>
    <t>ZMG ARGENTINA SRL</t>
  </si>
  <si>
    <t>FCR A 00002-00000620</t>
  </si>
  <si>
    <t>FCR A 00080-00245340</t>
  </si>
  <si>
    <t>FCR A 00080-00245618</t>
  </si>
  <si>
    <t>FCR A 00080-00244864</t>
  </si>
  <si>
    <t>FCR A 00080-00246405</t>
  </si>
  <si>
    <t>NDR A 00080-00032567</t>
  </si>
  <si>
    <t>FCR A 00440-02386323</t>
  </si>
  <si>
    <t>FCR B 00468-00580701</t>
  </si>
  <si>
    <t>FCI A 01993-21429604</t>
  </si>
  <si>
    <t>FCI A 01993-02600557</t>
  </si>
  <si>
    <t>FCR C 00003-00013567</t>
  </si>
  <si>
    <t>FCR C 00003-00013673</t>
  </si>
  <si>
    <t>FCR A 00840-00062621</t>
  </si>
  <si>
    <t>FCR A 00840-00124326</t>
  </si>
  <si>
    <t>FCR A 00050-05086166</t>
  </si>
  <si>
    <t>FCR A 05016-01229436</t>
  </si>
  <si>
    <t>FCR A 05016-01200858</t>
  </si>
  <si>
    <t>FCR A 05016-01215294</t>
  </si>
  <si>
    <t>FCR A 00002-00000601</t>
  </si>
  <si>
    <t>FCR A 00002-00000606</t>
  </si>
  <si>
    <t>NC A 00002-00000048</t>
  </si>
  <si>
    <t>FCR A 00010-00009574</t>
  </si>
  <si>
    <t>FCR A 00010-00009743</t>
  </si>
  <si>
    <t>ABACUS S-2026.031_M.E.Caud</t>
  </si>
  <si>
    <t>FCR A 00010-00009414</t>
  </si>
  <si>
    <t>FCR A 00010-00009750</t>
  </si>
  <si>
    <t>FCR A 00010-00009626</t>
  </si>
  <si>
    <t>FCR A 00010-00009654</t>
  </si>
  <si>
    <t>FCR A 00010-00009527</t>
  </si>
  <si>
    <t>FCR A 00013-00106322</t>
  </si>
  <si>
    <t>FCR A 00013-00105614</t>
  </si>
  <si>
    <t>FCR A 00013-00105780</t>
  </si>
  <si>
    <t>FCR A 70019-33173899</t>
  </si>
  <si>
    <t>FCR A 70019-33249625</t>
  </si>
  <si>
    <t>CARUSSO VANESA SOLEDAD</t>
  </si>
  <si>
    <t>FCR A 00010-00002230</t>
  </si>
  <si>
    <t>CASTELLANO WALTER ROLANDO</t>
  </si>
  <si>
    <t>FCR A 00002-00002415</t>
  </si>
  <si>
    <t>FCR I 00001-00190517</t>
  </si>
  <si>
    <t> COMPRA MERCADERIA DE REVENTA IMP NG </t>
  </si>
  <si>
    <t>CEFEM OC 1984</t>
  </si>
  <si>
    <t>COGNIGNI JORGE HUGO CARLOS</t>
  </si>
  <si>
    <t>FCR A 00006-00004470</t>
  </si>
  <si>
    <t>FCR A 00031-00002368</t>
  </si>
  <si>
    <t>COMBUSTIBLES TEJEDOR SRL</t>
  </si>
  <si>
    <t>FCR A 00002-00027682</t>
  </si>
  <si>
    <t>FCR A 00010-00166761</t>
  </si>
  <si>
    <t>FCR A 00010-00167095</t>
  </si>
  <si>
    <t>FCR A 00008-00430236</t>
  </si>
  <si>
    <t>FCR A 00008-00431005</t>
  </si>
  <si>
    <t>FCR A 00010-00171046</t>
  </si>
  <si>
    <t>FCR A 00010-00171047</t>
  </si>
  <si>
    <t>FCR A 00104-12963018</t>
  </si>
  <si>
    <t>FCR A 00104-13226352</t>
  </si>
  <si>
    <t>FCR A 00700-03177175</t>
  </si>
  <si>
    <t>FCR A 00104-12983182</t>
  </si>
  <si>
    <t>FCR A 00104-13120577</t>
  </si>
  <si>
    <t>FCR A 00104-13533263</t>
  </si>
  <si>
    <t>FCR A 00700-03131544</t>
  </si>
  <si>
    <t>COSTANTINI MARISA MAGDALENA</t>
  </si>
  <si>
    <t>FCR A 00005-00002135</t>
  </si>
  <si>
    <t>FCR A 00005-00002137</t>
  </si>
  <si>
    <t>NC A 00005-00000015</t>
  </si>
  <si>
    <t>FCR A 00002-00024222</t>
  </si>
  <si>
    <t>FCR A 00002-00024063</t>
  </si>
  <si>
    <t>FCR A 00002-00023869</t>
  </si>
  <si>
    <t>FCR A 00005-00006842</t>
  </si>
  <si>
    <t>FCR A 00020-00008562</t>
  </si>
  <si>
    <t>FCR A 00020-00008648</t>
  </si>
  <si>
    <t>DE VEGA VERONICA TRANSPORTE TAS</t>
  </si>
  <si>
    <t>FCR A 00002-00036249</t>
  </si>
  <si>
    <t>FCR A 00001-00024244</t>
  </si>
  <si>
    <t>FCR A 00001-00024292</t>
  </si>
  <si>
    <t>FCR A 00280-01651795</t>
  </si>
  <si>
    <t>FCR A 00280-01652861</t>
  </si>
  <si>
    <t>FCR A 00280-01644844</t>
  </si>
  <si>
    <t> FLETE por compras AL 10.5% </t>
  </si>
  <si>
    <t>FCR A 00778-00126136</t>
  </si>
  <si>
    <t>FCR A 00280-01648498</t>
  </si>
  <si>
    <t>FCR A 00280-01659414</t>
  </si>
  <si>
    <t>FCR I 00001-23461072</t>
  </si>
  <si>
    <t>FCR I 00001-25300213</t>
  </si>
  <si>
    <t>FCR I 00001-22607065</t>
  </si>
  <si>
    <t>FCR A 00005-00061396</t>
  </si>
  <si>
    <t>FCR A 00002-00461413</t>
  </si>
  <si>
    <t>FCR A 00002-00465671</t>
  </si>
  <si>
    <t>FCR A 00001-00014264</t>
  </si>
  <si>
    <t>FCR A 00006-00026658</t>
  </si>
  <si>
    <t>FCR A 00001-00014484</t>
  </si>
  <si>
    <t>FCR A 00018-00013110</t>
  </si>
  <si>
    <t>GLOBAL SOUND SRL</t>
  </si>
  <si>
    <t>FCR B 00006-00035345</t>
  </si>
  <si>
    <t>FCR A 00025-00044245</t>
  </si>
  <si>
    <t>FCR A 00025-00045190</t>
  </si>
  <si>
    <t>FCR A 00034-00003931</t>
  </si>
  <si>
    <t>FCR I 00005-56705149</t>
  </si>
  <si>
    <t>FCR I 00005-52503227</t>
  </si>
  <si>
    <t>GRUPO RIDIGAS S.R.L.</t>
  </si>
  <si>
    <t>FCR A 00004-00017459</t>
  </si>
  <si>
    <t>FCR C 00005-00000199</t>
  </si>
  <si>
    <t>HUADMA SRL</t>
  </si>
  <si>
    <t>FCR A 00004-00000343</t>
  </si>
  <si>
    <t>FCR A 00004-00000344</t>
  </si>
  <si>
    <t>FCR A 10765-00001333</t>
  </si>
  <si>
    <t>INGROB S.R.L.</t>
  </si>
  <si>
    <t>FCR A 00003-00017528</t>
  </si>
  <si>
    <t>INTEGRITY SEGUROS ARGENTINA S.A.</t>
  </si>
  <si>
    <t>FCR A 00002-00250681</t>
  </si>
  <si>
    <t>FCR A 00002-00250683</t>
  </si>
  <si>
    <t>FCR I 00026-00000559</t>
  </si>
  <si>
    <t>FCR I 00026-00000649</t>
  </si>
  <si>
    <t>JORGE COGNIGNI E HIJOS S. A.</t>
  </si>
  <si>
    <t>FCR A 00003-00012107</t>
  </si>
  <si>
    <t>FCR A 00003-00009058</t>
  </si>
  <si>
    <t>FCR A 00003-00008995</t>
  </si>
  <si>
    <t>LA GALLARETA DE SALADILLO SA</t>
  </si>
  <si>
    <t>FCR A 00006-00006317</t>
  </si>
  <si>
    <t>FCR A 00003-00007656</t>
  </si>
  <si>
    <t>FCR A 00033-00013520</t>
  </si>
  <si>
    <t>R1    -10042026</t>
  </si>
  <si>
    <t>R1    -24042026</t>
  </si>
  <si>
    <t>R1    -25032026</t>
  </si>
  <si>
    <t>R1    -27032026</t>
  </si>
  <si>
    <t>R1    -79380943</t>
  </si>
  <si>
    <t>FCR A 00015-00003159</t>
  </si>
  <si>
    <t>FCR A 00009-00048197</t>
  </si>
  <si>
    <t>FCR A 00009-00048353</t>
  </si>
  <si>
    <t>FCR A 00009-00048465</t>
  </si>
  <si>
    <t>FCR A 00009-00048053</t>
  </si>
  <si>
    <t>LORENZO RICARDO La Matera</t>
  </si>
  <si>
    <t>FCR A 00005-00009136</t>
  </si>
  <si>
    <t>MAC S.R.L</t>
  </si>
  <si>
    <t>FCR A 00060-00044380</t>
  </si>
  <si>
    <t>FCR A 00062-00003672</t>
  </si>
  <si>
    <t>FCR A 00004-00027361</t>
  </si>
  <si>
    <t>FCR A 00004-00027373</t>
  </si>
  <si>
    <t>NC A 00004-00001884</t>
  </si>
  <si>
    <t>FCR C 00003-00000602</t>
  </si>
  <si>
    <t>FCR A 00004-00012621</t>
  </si>
  <si>
    <t>R1    -20265231</t>
  </si>
  <si>
    <t>NIETO CRISTIAN</t>
  </si>
  <si>
    <t>FCR A 00002-00002297</t>
  </si>
  <si>
    <t>FCR C 00001-00000606</t>
  </si>
  <si>
    <t>FCR C 00001-00000614</t>
  </si>
  <si>
    <t>FCR A 00026-00069526</t>
  </si>
  <si>
    <t>FCR A 00026-00069527</t>
  </si>
  <si>
    <t>FCR A 00026-00069552</t>
  </si>
  <si>
    <t>FCR A 00026-00069645</t>
  </si>
  <si>
    <t>FCR A 00026-00069889</t>
  </si>
  <si>
    <t>FCR A 00026-00070572</t>
  </si>
  <si>
    <t>FCR A 00026-00070602</t>
  </si>
  <si>
    <t>FCR A 00026-00070745</t>
  </si>
  <si>
    <t>NC A 00026-00025092</t>
  </si>
  <si>
    <t>NC A 00026-00025093</t>
  </si>
  <si>
    <t>NCR A 00026-00025026</t>
  </si>
  <si>
    <t>FCR A 02001-00551173</t>
  </si>
  <si>
    <t>OESER S. A.</t>
  </si>
  <si>
    <t>FCR A 00007-00008036</t>
  </si>
  <si>
    <t>FCR A 07546-00006528</t>
  </si>
  <si>
    <t>FCR A 08284-00031655</t>
  </si>
  <si>
    <t>FCR A 08012-00047946</t>
  </si>
  <si>
    <t>FCR A 00002-00004019</t>
  </si>
  <si>
    <t>FCR A 00002-00004058</t>
  </si>
  <si>
    <t>FCR A 00034-00043620</t>
  </si>
  <si>
    <t>PETROSUR SRL</t>
  </si>
  <si>
    <t>FCR A 00025-00020388</t>
  </si>
  <si>
    <t>PREMET SRL</t>
  </si>
  <si>
    <t>FCR A 00002-00007695</t>
  </si>
  <si>
    <t>FCR A 00006-00067170</t>
  </si>
  <si>
    <t>NC A 00006-00026824</t>
  </si>
  <si>
    <t>FCR A 00001-00106617</t>
  </si>
  <si>
    <t>NC A 00007-10797852</t>
  </si>
  <si>
    <t>FCR A 00014-00074270</t>
  </si>
  <si>
    <t>FCR A 00014-00075166</t>
  </si>
  <si>
    <t>FCR A 00003-00114549</t>
  </si>
  <si>
    <t>FCR A 00003-00113320</t>
  </si>
  <si>
    <t>FCR A 00003-00113681</t>
  </si>
  <si>
    <t>FCR A 00003-00112664</t>
  </si>
  <si>
    <t>FCR A 00003-00112757</t>
  </si>
  <si>
    <t>FCR A 00003-00113001</t>
  </si>
  <si>
    <t>FCR A 00003-00114266</t>
  </si>
  <si>
    <t>FCR A 00003-00114336</t>
  </si>
  <si>
    <t>FCR A 00001-00004011</t>
  </si>
  <si>
    <t>FCR I 00001-00240447</t>
  </si>
  <si>
    <t>FCR I 00001-00240451</t>
  </si>
  <si>
    <t>RODOVIA SA</t>
  </si>
  <si>
    <t>FCR A 00016-00007543</t>
  </si>
  <si>
    <t>SALINAS CHICO S A</t>
  </si>
  <si>
    <t>FCR A 00008-00012846</t>
  </si>
  <si>
    <t>FCR A 00001-00077492</t>
  </si>
  <si>
    <t>FCR A 00003-00003271</t>
  </si>
  <si>
    <t>FCR A 00003-00003341</t>
  </si>
  <si>
    <t>SANTOS KARINA ELISABET</t>
  </si>
  <si>
    <t>FCR C 00003-00000040</t>
  </si>
  <si>
    <t>R1    -67103693</t>
  </si>
  <si>
    <t>R1    -67103694</t>
  </si>
  <si>
    <t>FCR A 00011-00037531</t>
  </si>
  <si>
    <t>FCR A 00011-00038210</t>
  </si>
  <si>
    <t>FCR A 00008-00292478</t>
  </si>
  <si>
    <t>FCR A 00008-00295249</t>
  </si>
  <si>
    <t>FCR A 00010-00007429</t>
  </si>
  <si>
    <t>R1    -20042026</t>
  </si>
  <si>
    <t>R1    -21042026</t>
  </si>
  <si>
    <t>R1    -29042026</t>
  </si>
  <si>
    <t>FCR A 03099-00737525</t>
  </si>
  <si>
    <t>FCR A 03099-00755512</t>
  </si>
  <si>
    <t>FCR A 02467-01518110</t>
  </si>
  <si>
    <t>FCR A 02467-01533463</t>
  </si>
  <si>
    <t>R1    -03052026</t>
  </si>
  <si>
    <t>R1    -00032026</t>
  </si>
  <si>
    <t>R1    -26032026</t>
  </si>
  <si>
    <t>R1    -10355802</t>
  </si>
  <si>
    <t>R1    -14965601</t>
  </si>
  <si>
    <t>FCR A 00005-00012882</t>
  </si>
  <si>
    <t>FCR A 00005-00012898</t>
  </si>
  <si>
    <t>FCR A 00005-00012899</t>
  </si>
  <si>
    <t>NC A 00005-00000522</t>
  </si>
  <si>
    <t>NC A 00005-00000523</t>
  </si>
  <si>
    <t>NC A 00005-00000524</t>
  </si>
  <si>
    <t>FCR A 00002-00009175</t>
  </si>
  <si>
    <t>FCR A 00002-00009193</t>
  </si>
  <si>
    <t>FCR A 00002-00009208</t>
  </si>
  <si>
    <t>FCR A 00002-00009224</t>
  </si>
  <si>
    <t>FCR A 00002-00009229</t>
  </si>
  <si>
    <t>FCR A 00002-00009342</t>
  </si>
  <si>
    <t>FCR A 00005-00005958</t>
  </si>
  <si>
    <t>FCR A 00005-00005924</t>
  </si>
  <si>
    <t>FCR A 00002-00023030</t>
  </si>
  <si>
    <t>FCR A 00002-00022724</t>
  </si>
  <si>
    <t>FCR A 00002-00022730</t>
  </si>
  <si>
    <t>FCR A 00002-00022898</t>
  </si>
  <si>
    <t>FCR A 00002-00022899</t>
  </si>
  <si>
    <t>FCR A 00002-00022843</t>
  </si>
  <si>
    <t>NDR A 00002-00003482</t>
  </si>
  <si>
    <t>NDR A 00002-00003487</t>
  </si>
  <si>
    <t>NDR A 00002-00003506</t>
  </si>
  <si>
    <t>FCR A 00012-00016461</t>
  </si>
  <si>
    <t>FCR A 00011-00031132</t>
  </si>
  <si>
    <t>FCR A 00017-00005821</t>
  </si>
  <si>
    <t>FCR A 00002-00099930</t>
  </si>
  <si>
    <t>VIA BARILOCHE SOCIEDAD ANONIMA</t>
  </si>
  <si>
    <t>FCR A 09341-00011040</t>
  </si>
  <si>
    <t>FCR A 00012-00001853</t>
  </si>
  <si>
    <t>FCR A 00012-00001929</t>
  </si>
  <si>
    <t>FCR A 00012-00001874</t>
  </si>
  <si>
    <t>FCR A 00012-00001944</t>
  </si>
  <si>
    <t>FCR A 00012-00001945</t>
  </si>
  <si>
    <t>NC A 00012-00000354</t>
  </si>
  <si>
    <t>FCR A 00006-00004451</t>
  </si>
  <si>
    <t>FCR A 00006-00004404</t>
  </si>
  <si>
    <t>FCR A 00006-00004384</t>
  </si>
  <si>
    <t>VISCONTI FRANCO GUILLERMO</t>
  </si>
  <si>
    <t>FCR A 00003-00000966</t>
  </si>
  <si>
    <t> BS. USO. - MAQUIN Y HERRAM 10.5% </t>
  </si>
  <si>
    <t>Bienes de uso</t>
  </si>
  <si>
    <t>VIVIANA EVA PEOLA Y JUAN PABLO AMADASI S</t>
  </si>
  <si>
    <t>FCR A 00004-00000358</t>
  </si>
  <si>
    <t>FCR I 00002-02603027</t>
  </si>
  <si>
    <t>FCR A 00017-00049894</t>
  </si>
  <si>
    <t>FCR A 00017-00049921</t>
  </si>
  <si>
    <t>ZAREK S.R.L.</t>
  </si>
  <si>
    <t>FCR A 00062-00018672</t>
  </si>
  <si>
    <t>FCR A 00080-00246558</t>
  </si>
  <si>
    <t>FCR A 00080-00247076</t>
  </si>
  <si>
    <t>FCR A 00080-00247497</t>
  </si>
  <si>
    <t>FCR A 00080-00247498</t>
  </si>
  <si>
    <t>FCR A 00440-02392561</t>
  </si>
  <si>
    <t>FCR A 00440-02396273</t>
  </si>
  <si>
    <t>Cefem 2003</t>
  </si>
  <si>
    <t>FCR I 00001-00001993</t>
  </si>
  <si>
    <t>FCR C 00003-00013780</t>
  </si>
  <si>
    <t>NDR A 00002-00000022</t>
  </si>
  <si>
    <t> DIFERENCIA DE CAMBIO Recargo pago fuera termino </t>
  </si>
  <si>
    <t>FCR A 00008-00075608</t>
  </si>
  <si>
    <t>FCR A 00008-00075613</t>
  </si>
  <si>
    <t>FCR A 00005-00003829</t>
  </si>
  <si>
    <t>FCR A 00005-00689521</t>
  </si>
  <si>
    <t>NC A 00005-00102843</t>
  </si>
  <si>
    <t>FCR A 00013-00107091</t>
  </si>
  <si>
    <t>FCR A 00013-00107145</t>
  </si>
  <si>
    <t>FCR A 00013-00107452</t>
  </si>
  <si>
    <t>FCR A 00013-00107906</t>
  </si>
  <si>
    <t>CAMINOS DE LAS SIERRAS S. A.</t>
  </si>
  <si>
    <t>R1    -13052026</t>
  </si>
  <si>
    <t>FCR A 70019-33397765</t>
  </si>
  <si>
    <t>FCR A 70019-33321616</t>
  </si>
  <si>
    <t>FCR A 00002-00002529</t>
  </si>
  <si>
    <t>FCR I 00001-00190594</t>
  </si>
  <si>
    <t>TIK   00001-00187630</t>
  </si>
  <si>
    <t>9 DE JULIO S-2026.038_I.VDF</t>
  </si>
  <si>
    <t>TIK   00001-00466576</t>
  </si>
  <si>
    <t>CHAVES SERGIO FABIAN</t>
  </si>
  <si>
    <t>FCR A 00010-00047277</t>
  </si>
  <si>
    <t>FCR A 00030-00003253</t>
  </si>
  <si>
    <t>FCR A 00008-00439510</t>
  </si>
  <si>
    <t>FCR A 00008-00439511</t>
  </si>
  <si>
    <t>FCR A 00104-13639558</t>
  </si>
  <si>
    <t>FCR A 00104-13705836</t>
  </si>
  <si>
    <t>FCR A 00104-13879474</t>
  </si>
  <si>
    <t>FCR A 00104-13947647</t>
  </si>
  <si>
    <t>FCR A 00001-00004504</t>
  </si>
  <si>
    <t>FCR A 00002-00024553</t>
  </si>
  <si>
    <t>CUATROS RUMBOS DE OLAVARRIA SA</t>
  </si>
  <si>
    <t>FCR A 00002-00006162</t>
  </si>
  <si>
    <t>FCR A 00005-00007205</t>
  </si>
  <si>
    <t>FCR A 00005-00007256</t>
  </si>
  <si>
    <t>FC A 00020-00008751</t>
  </si>
  <si>
    <t>DEHEZA SOCIEDAD ANONIMA INDUSTRIAL COMER</t>
  </si>
  <si>
    <t>FCR A 02042-00204044</t>
  </si>
  <si>
    <t>FCR A 00280-00130233</t>
  </si>
  <si>
    <t>FCR A 00280-01661772</t>
  </si>
  <si>
    <t>FCR A 00280-01662878</t>
  </si>
  <si>
    <t>FCR A 00280-01668475</t>
  </si>
  <si>
    <t>FCR I 00001-26518145</t>
  </si>
  <si>
    <t>FCR A 00002-00470412</t>
  </si>
  <si>
    <t>FCR A 00002-00471232</t>
  </si>
  <si>
    <t>FCR A 00002-00473015</t>
  </si>
  <si>
    <t>FCR A 00002-00479962</t>
  </si>
  <si>
    <t>FCR A 00022-00042617</t>
  </si>
  <si>
    <t>FCR A 00001-00014638</t>
  </si>
  <si>
    <t>FCR A 00001-00014732</t>
  </si>
  <si>
    <t>FCR A 00002-00026603</t>
  </si>
  <si>
    <t>FCR A 00002-00026604</t>
  </si>
  <si>
    <t>FERCOR FIJACIONES SRL</t>
  </si>
  <si>
    <t>FCR A 00007-00105990</t>
  </si>
  <si>
    <t>FCR A 00007-00016848</t>
  </si>
  <si>
    <t>FCR A 00027-00053112</t>
  </si>
  <si>
    <t>FCR A 00025-00045857</t>
  </si>
  <si>
    <t>FCR A 00028-00037936</t>
  </si>
  <si>
    <t>FCR A 00028-00038116</t>
  </si>
  <si>
    <t>FCR A 00025-00046196</t>
  </si>
  <si>
    <t>FCR I 00005-80763814</t>
  </si>
  <si>
    <t>HERMANOS LAGUZZI S.A.S.</t>
  </si>
  <si>
    <t>FCR A 00001-00014350</t>
  </si>
  <si>
    <t>FCR A 00004-00028087</t>
  </si>
  <si>
    <t>FCR C 00005-00000203</t>
  </si>
  <si>
    <t>FCR I 00001-00012156</t>
  </si>
  <si>
    <t>FCR A 10079-00001840</t>
  </si>
  <si>
    <t>FCR A 00001-00250681</t>
  </si>
  <si>
    <t>FCR A 00001-00250683</t>
  </si>
  <si>
    <t>J L RAMONDA E HIJOS SRL</t>
  </si>
  <si>
    <t>FCR A 00019-00051887</t>
  </si>
  <si>
    <t>LAKAUT SA</t>
  </si>
  <si>
    <t>FCR A 00040-03265463</t>
  </si>
  <si>
    <t>R1    -22052026</t>
  </si>
  <si>
    <t>FCR A 00009-00048576</t>
  </si>
  <si>
    <t>FCR A 00009-00048712</t>
  </si>
  <si>
    <t>FCR A 00009-00048834</t>
  </si>
  <si>
    <t>FCR A 00007-00083001</t>
  </si>
  <si>
    <t>FCR A 00007-00083151</t>
  </si>
  <si>
    <t>FCR A 00007-00082897</t>
  </si>
  <si>
    <t>FCR A 00007-00082898</t>
  </si>
  <si>
    <t>FCR A 00026-00071227</t>
  </si>
  <si>
    <t>FCR A 00026-00071368</t>
  </si>
  <si>
    <t>FCR A 08012-00046656</t>
  </si>
  <si>
    <t>FCR A 07208-00002993</t>
  </si>
  <si>
    <t>FCR A 00006-00018192</t>
  </si>
  <si>
    <t>FCR A 00006-00018033</t>
  </si>
  <si>
    <t>PENSINI CHRISTIAN JOSE</t>
  </si>
  <si>
    <t>FCR A 00002-00000101</t>
  </si>
  <si>
    <t>FCR A 00003-00000088</t>
  </si>
  <si>
    <t>FCR A 00002-00000103</t>
  </si>
  <si>
    <t>FCR A 00002-00004097</t>
  </si>
  <si>
    <t>FCR A 00006-00067431</t>
  </si>
  <si>
    <t>FCR A 00002-00197384</t>
  </si>
  <si>
    <t>FCR A 00001-01022617</t>
  </si>
  <si>
    <t>RAM OLAVARRIA</t>
  </si>
  <si>
    <t>FCR A 00031-00000790</t>
  </si>
  <si>
    <t>FCR A 00014-00076550</t>
  </si>
  <si>
    <t>NDR A 00003-00004835</t>
  </si>
  <si>
    <t>RIVAS LEANDRO NICOLAS</t>
  </si>
  <si>
    <t>FCR A 00006-00005156</t>
  </si>
  <si>
    <t>SABORES Y SUEÑOS PILAR S.A.S.</t>
  </si>
  <si>
    <t>FCR A 00001-00000854</t>
  </si>
  <si>
    <t>FCR A 00008-00012852</t>
  </si>
  <si>
    <t>SCHINETTI JORGE ELVIO</t>
  </si>
  <si>
    <t>TIK   00009-00041304</t>
  </si>
  <si>
    <t>R1    -46584959</t>
  </si>
  <si>
    <t>R1    -46584960</t>
  </si>
  <si>
    <t>R1    -67622712</t>
  </si>
  <si>
    <t>R1    -67622714</t>
  </si>
  <si>
    <t>R1    -67854775</t>
  </si>
  <si>
    <t>FCR A 00011-00039070</t>
  </si>
  <si>
    <t>FCR A 00011-00039127</t>
  </si>
  <si>
    <t>FCR A 00011-00039352</t>
  </si>
  <si>
    <t>FCR A 00008-00297997</t>
  </si>
  <si>
    <t>SMART GROUP</t>
  </si>
  <si>
    <t>FCR A 00001-00024050</t>
  </si>
  <si>
    <t> BS. USO MUEBLES Y UTILES 10.5% </t>
  </si>
  <si>
    <t>R1    -07052026</t>
  </si>
  <si>
    <t>R1    -00052026</t>
  </si>
  <si>
    <t>R1    -11052026</t>
  </si>
  <si>
    <t>FCR A 03099-00799346</t>
  </si>
  <si>
    <t>FCR A 02467-01552676</t>
  </si>
  <si>
    <t>FCR A 03123-00054086</t>
  </si>
  <si>
    <t>R1    -17052026</t>
  </si>
  <si>
    <t>FCR A 00005-00013130</t>
  </si>
  <si>
    <t>FCR A 00002-00009452</t>
  </si>
  <si>
    <t>FCR A 00002-00009440</t>
  </si>
  <si>
    <t>FCR A 00005-00006001</t>
  </si>
  <si>
    <t>FCR A 00002-00023080</t>
  </si>
  <si>
    <t>FCR A 00002-00023081</t>
  </si>
  <si>
    <t>FCR A 00002-00023107</t>
  </si>
  <si>
    <t>FCR A 00002-00023120</t>
  </si>
  <si>
    <t>FCR A 00002-00023137</t>
  </si>
  <si>
    <t>FCR A 00002-00023151</t>
  </si>
  <si>
    <t>FCR A 00002-00023174</t>
  </si>
  <si>
    <t>FCR A 00002-00023175</t>
  </si>
  <si>
    <t>NC A 00002-00002445</t>
  </si>
  <si>
    <t>ND A 00002-00003531</t>
  </si>
  <si>
    <t>NDR A 00002-00003524</t>
  </si>
  <si>
    <t> DIFERENCIAS DE COTIZACION NG </t>
  </si>
  <si>
    <t>NDR A 00002-00003525</t>
  </si>
  <si>
    <t>NDR A 00002-00003536</t>
  </si>
  <si>
    <t>NDR A 00002-00003546</t>
  </si>
  <si>
    <t>FCR A 09341-00012061</t>
  </si>
  <si>
    <t>FCR A 00012-00002036</t>
  </si>
  <si>
    <t>FCR A 00004-00000359</t>
  </si>
  <si>
    <t>FCR A 00004-00000360</t>
  </si>
  <si>
    <t>FCR A 00004-00000365</t>
  </si>
  <si>
    <t>FCR I 00022-02603027</t>
  </si>
  <si>
    <t>YAPAI SOCIEDAD DE RESPONSABILIDAD LIMIT</t>
  </si>
  <si>
    <t>FCR A 00039-00039980</t>
  </si>
  <si>
    <t>FCR A 00080-00248201</t>
  </si>
  <si>
    <t>FCR I 01993-00240447</t>
  </si>
  <si>
    <t>FCR C 00003-00013887</t>
  </si>
  <si>
    <t>FCR A 00003-00023712</t>
  </si>
  <si>
    <t>FCR A 05016-01281555</t>
  </si>
  <si>
    <t>FCR A 00010-00010095</t>
  </si>
  <si>
    <t>FCR A 00010-00010124</t>
  </si>
  <si>
    <t>FCR A 00010-00010141</t>
  </si>
  <si>
    <t>FCR A 00010-00010142</t>
  </si>
  <si>
    <t>FCR A 00010-00010013</t>
  </si>
  <si>
    <t>FCR A 00010-00010034</t>
  </si>
  <si>
    <t>FCR A 00013-00109063</t>
  </si>
  <si>
    <t>FCR A 00013-00109233</t>
  </si>
  <si>
    <t>FCR A 70019-33468445</t>
  </si>
  <si>
    <t>CASTRO JORGE LUIS</t>
  </si>
  <si>
    <t>FCR A 00016-00031093</t>
  </si>
  <si>
    <t>TIK   00001-17313229</t>
  </si>
  <si>
    <t>TIK   00001-21340602</t>
  </si>
  <si>
    <t>CIBRAN HECTOR MAURICIO</t>
  </si>
  <si>
    <t>FCR A 00002-00000880</t>
  </si>
  <si>
    <t>CIBRAN MARIO  HECTOR</t>
  </si>
  <si>
    <t>FCR C 00002-00003857</t>
  </si>
  <si>
    <t> REPUESTOS NG </t>
  </si>
  <si>
    <t>FCR A 00030-00004219</t>
  </si>
  <si>
    <t>FCR A 00010-00174326</t>
  </si>
  <si>
    <t>FCR A 00010-00174327</t>
  </si>
  <si>
    <t>FCR A 00104-14100330</t>
  </si>
  <si>
    <t>FCR A 00104-14152350</t>
  </si>
  <si>
    <t>FCR A 00104-14504413</t>
  </si>
  <si>
    <t>FCR A 00700-03268857</t>
  </si>
  <si>
    <t>FCR A 00104-14321245</t>
  </si>
  <si>
    <t>FCR A 00104-14335799</t>
  </si>
  <si>
    <t>FCR A 00104-14379724</t>
  </si>
  <si>
    <t>FCR A 00001-00004593</t>
  </si>
  <si>
    <t>FCR A 00001-00004610</t>
  </si>
  <si>
    <t>FCR A 00001-00004586</t>
  </si>
  <si>
    <t>FCR A 00002-00024747</t>
  </si>
  <si>
    <t>FCR A 00002-00006188</t>
  </si>
  <si>
    <t>CURTO ROBERTO LUIS</t>
  </si>
  <si>
    <t>FCR A 00002-00000178</t>
  </si>
  <si>
    <t>FCR C 00002-00000226</t>
  </si>
  <si>
    <t>FCR A 00001-00024982</t>
  </si>
  <si>
    <t>FCR A 00022-00043460</t>
  </si>
  <si>
    <t>9 de Julio S-2026.051_TSSAA-OT</t>
  </si>
  <si>
    <t>FCR A 00007-00106383</t>
  </si>
  <si>
    <t>FCR A 00007-00106896</t>
  </si>
  <si>
    <t>FCR A 00003-00000257</t>
  </si>
  <si>
    <t>FUSIONNET SRL</t>
  </si>
  <si>
    <t>FCR A 00005-00002974</t>
  </si>
  <si>
    <t>FCR A 00006-00035519</t>
  </si>
  <si>
    <t>GNC AU VILLA MARIA S.R.L</t>
  </si>
  <si>
    <t>FCR A 00013-00016379</t>
  </si>
  <si>
    <t>FCR A 00013-00016487</t>
  </si>
  <si>
    <t>FCR A 00028-00038993</t>
  </si>
  <si>
    <t>FCR I 00006-16185578</t>
  </si>
  <si>
    <t>FCR A 00004-00029006</t>
  </si>
  <si>
    <t>FCR A 00004-00028886</t>
  </si>
  <si>
    <t>FCR C 00005-00000214</t>
  </si>
  <si>
    <t>FCR C 00005-00000210</t>
  </si>
  <si>
    <t>FCR A 00014-00008158</t>
  </si>
  <si>
    <t>FCR A 00014-00008197</t>
  </si>
  <si>
    <t>FCR A 00035-00028062</t>
  </si>
  <si>
    <t>FCR A 00035-00028121</t>
  </si>
  <si>
    <t>NC A 00035-00005258</t>
  </si>
  <si>
    <t>NCR A 00035-00005254</t>
  </si>
  <si>
    <t>ITALSERVICE S A</t>
  </si>
  <si>
    <t>FCR A 00014-00016608</t>
  </si>
  <si>
    <t>FCR A 00014-00016632</t>
  </si>
  <si>
    <t>FCR A 00011-00029959</t>
  </si>
  <si>
    <t>FCR A 00011-00029991</t>
  </si>
  <si>
    <t>FCR A 00003-00009178</t>
  </si>
  <si>
    <t>R1    -00710622</t>
  </si>
  <si>
    <t>FCR A 00009-00048961</t>
  </si>
  <si>
    <t>FCR A 00015-00003424</t>
  </si>
  <si>
    <t>FCR A 00009-00049149</t>
  </si>
  <si>
    <t>FCR A 00005-00009408</t>
  </si>
  <si>
    <t>FCR A 00004-00013669</t>
  </si>
  <si>
    <t>NC A 00007-00003588</t>
  </si>
  <si>
    <t>FCR C 00001-00000641</t>
  </si>
  <si>
    <t>FCR C 00001-00000638</t>
  </si>
  <si>
    <t>FCR C 00001-00000639</t>
  </si>
  <si>
    <t>FCR A 00026-00072262</t>
  </si>
  <si>
    <t>FCR A 00026-00072449</t>
  </si>
  <si>
    <t>FCR A 00026-00071790</t>
  </si>
  <si>
    <t>FCR A 00026-00071851</t>
  </si>
  <si>
    <t>FCR A 00026-00071870</t>
  </si>
  <si>
    <t>FCR A 07206-00110749</t>
  </si>
  <si>
    <t>FCR A 07214-00097436</t>
  </si>
  <si>
    <t>FCR A 00006-00018365</t>
  </si>
  <si>
    <t>FCR A 00002-00000109</t>
  </si>
  <si>
    <t>FCR A 00003-00000094</t>
  </si>
  <si>
    <t>FCR A 00002-00004135</t>
  </si>
  <si>
    <t>FCR A 00001-00175396</t>
  </si>
  <si>
    <t>ND A 00004-00055931</t>
  </si>
  <si>
    <t>FCR A 00003-00116216</t>
  </si>
  <si>
    <t>FCR A 00003-00117428</t>
  </si>
  <si>
    <t>FCR A 00001-00004042</t>
  </si>
  <si>
    <t>FCR I 00002-00240447</t>
  </si>
  <si>
    <t>ROSALES FRANCO GASTON</t>
  </si>
  <si>
    <t>FCR A 00005-00000083</t>
  </si>
  <si>
    <t>RUTAS SUR ATLANTICO S.A.</t>
  </si>
  <si>
    <t>FCR A 00002-00130584</t>
  </si>
  <si>
    <t>FCR A 00001-00000933</t>
  </si>
  <si>
    <t>FCR A 00008-00013179</t>
  </si>
  <si>
    <t>SERVI COMPRAS VILLA MARIA S.A.S.</t>
  </si>
  <si>
    <t>FCR A 00003-00010299</t>
  </si>
  <si>
    <t>FCR A 00011-00040305</t>
  </si>
  <si>
    <t>FCR A 00008-00302117</t>
  </si>
  <si>
    <t>FCR A 00008-00300843</t>
  </si>
  <si>
    <t>SMITH BROTHERS SA</t>
  </si>
  <si>
    <t>FCR A 00004-00000395</t>
  </si>
  <si>
    <t>R1    -13072026</t>
  </si>
  <si>
    <t>R1    -22062026</t>
  </si>
  <si>
    <t>R1    -00062026</t>
  </si>
  <si>
    <t>R1    -25062026</t>
  </si>
  <si>
    <t>FCR A 03099-00819332</t>
  </si>
  <si>
    <t>FCR A 02467-01570313</t>
  </si>
  <si>
    <t>FCR A 03123-00057320</t>
  </si>
  <si>
    <t>FCR A 00005-00013230</t>
  </si>
  <si>
    <t>FCR A 00005-00013299</t>
  </si>
  <si>
    <t>FCR A 00002-00009600</t>
  </si>
  <si>
    <t>FCR A 00002-00009533</t>
  </si>
  <si>
    <t>FCR A 00002-00009547</t>
  </si>
  <si>
    <t>FCR A 00001-00004053</t>
  </si>
  <si>
    <t>FCR A 00005-00006025</t>
  </si>
  <si>
    <t>FCR C 00002-00001598</t>
  </si>
  <si>
    <t>FCR C 00002-00001599</t>
  </si>
  <si>
    <t>NC C 00002-00000368</t>
  </si>
  <si>
    <t>FCR A 07337-00001596</t>
  </si>
  <si>
    <t>FCR A 07337-00001195</t>
  </si>
  <si>
    <t>FCR A 07337-00001422</t>
  </si>
  <si>
    <t>FCR A 00012-00002173</t>
  </si>
  <si>
    <t>FCR A 00012-00002094</t>
  </si>
  <si>
    <t>FCR A 00012-00002175</t>
  </si>
  <si>
    <t>FCR A 00012-00002105</t>
  </si>
  <si>
    <t>FCR A 00012-00002114</t>
  </si>
  <si>
    <t>FCR A 00012-00002129</t>
  </si>
  <si>
    <t>NC A 00012-00000397</t>
  </si>
  <si>
    <t>FCR A 00006-00004567</t>
  </si>
  <si>
    <t>FCR A 00031-00066564</t>
  </si>
  <si>
    <t>FCR A 00035-00018558</t>
  </si>
  <si>
    <t>FCR A 00013-00109432</t>
  </si>
  <si>
    <t>FCR A 00013-00109433</t>
  </si>
  <si>
    <t>FCR A 00013-00109434</t>
  </si>
  <si>
    <t>FCR A 00002-00000180</t>
  </si>
  <si>
    <t>FCR A 00025-00047413</t>
  </si>
  <si>
    <t>FCR A 00035-00028150</t>
  </si>
  <si>
    <t>FCR A 00026-00072474</t>
  </si>
  <si>
    <t>FCR A 00012-00002176</t>
  </si>
  <si>
    <t>INI S-2026.056_T ECOMON</t>
  </si>
  <si>
    <t>Cagnoli S-2026.045_T.BombasT</t>
  </si>
  <si>
    <t>H:\Ingenieria 2.0\Cagnoli\S-2026.045_T.BombasT\1_Presupuesto\1_4_Lista de materiales\S-2026.045_T.BombasT-LM_7.xlsm</t>
  </si>
  <si>
    <t>FCR A 00001-00004630</t>
  </si>
  <si>
    <t>DELAGUILA ALEJANDRO SEBASTIAN</t>
  </si>
  <si>
    <t>FCR A 00001-00002138</t>
  </si>
  <si>
    <t>FCR A 00022-00043631</t>
  </si>
  <si>
    <t>FEDERAL EXPRESS CORPORATION</t>
  </si>
  <si>
    <t>FCR A 00122-00441880</t>
  </si>
  <si>
    <t>AESA VMOS S-2026.046</t>
  </si>
  <si>
    <t>FCR A 00009-00049310</t>
  </si>
  <si>
    <t>FCR A 00026-00072604</t>
  </si>
  <si>
    <t>FCR A 00003-00117787</t>
  </si>
  <si>
    <t>R1    -23072026</t>
  </si>
  <si>
    <t>TAMEX2 S.A.</t>
  </si>
  <si>
    <t>FCR A 00005-00080192</t>
  </si>
  <si>
    <t>NC A 00005-00010641</t>
  </si>
  <si>
    <t>FCR A 00013-00109611</t>
  </si>
  <si>
    <t>FCR A 00002-00002643</t>
  </si>
  <si>
    <t>FCR A 00002-00481236</t>
  </si>
  <si>
    <t>MINISTERIO DE SEGURIDAD CORDOBA</t>
  </si>
  <si>
    <t>R1    -07072026</t>
  </si>
  <si>
    <t>MULTAS</t>
  </si>
  <si>
    <t>R1    -20265232</t>
  </si>
  <si>
    <t>FCR A 02467-01583744</t>
  </si>
  <si>
    <t>FCR A 00002-00009641</t>
  </si>
  <si>
    <t>AESA S-2026_TGBT-ALLEN</t>
  </si>
  <si>
    <t>H:\Ingenieria 2.0\AESA\S-2026.055_TGBT-ALLEN\1_Presupuesto\1_4_Lista de materiales\S-2026.055_TGBT-ALLEN-LM_6.xlsm</t>
  </si>
  <si>
    <t>FCR A 00004-00000403</t>
  </si>
  <si>
    <t>Importe Facturado</t>
  </si>
  <si>
    <t>FCR A 00020-00008847</t>
  </si>
  <si>
    <t>FCR A 00022-00043904</t>
  </si>
  <si>
    <t>FCR A 00009-00049467</t>
  </si>
  <si>
    <t>FCR A 00006-00053502</t>
  </si>
  <si>
    <t>FCR A 00005-00000620</t>
  </si>
  <si>
    <t>FCR A 00005-00000621</t>
  </si>
  <si>
    <t>FCR A 00007-00084137</t>
  </si>
  <si>
    <t>FCR A 00026-00072835</t>
  </si>
  <si>
    <t>FCR A 00026-00072845</t>
  </si>
  <si>
    <t>FCR A 00014-00077781</t>
  </si>
  <si>
    <t>FCR A 00001-00004081</t>
  </si>
  <si>
    <t>FCR C 00002-00001678</t>
  </si>
  <si>
    <t>Honorarios-Servicios 3eros</t>
  </si>
  <si>
    <t>FCR I 00041-79004889</t>
  </si>
  <si>
    <t>ORMAZABAL S-2026.062_T.1000A</t>
  </si>
  <si>
    <t>PAE S-2026.041_APOyCASE</t>
  </si>
  <si>
    <t>H:\Ingenieria 2.0\ORMAZABAL\S-2026.062_T.1000A\1_Presupuesto\1_4_Lista de materiales\S-2026.062_T.1000A-LM_07.xlsm</t>
  </si>
  <si>
    <t>H:\Ingenieria 2.0\Pan-Energy\S-2026.041_APOyCASE\1_Presupuesto\1_4_Lista de materiales\S-2026.041_APOyCASE-LM_03.xlsm</t>
  </si>
  <si>
    <t>FCR A 00080-00248931</t>
  </si>
  <si>
    <t>FCR A 00080-00249031</t>
  </si>
  <si>
    <t>NDR A 00080-00033516</t>
  </si>
  <si>
    <t>NDR A 00080-00033522</t>
  </si>
  <si>
    <t>FCR C 00003-00014018</t>
  </si>
  <si>
    <t>AUSTRIA 1774 S.A</t>
  </si>
  <si>
    <t>FCR A 00004-00001898</t>
  </si>
  <si>
    <t>FCR A 00010-00010075</t>
  </si>
  <si>
    <t>FCR A 00030-00004862</t>
  </si>
  <si>
    <t>COMBUSTIBLES RAUL ALONSO S.A.</t>
  </si>
  <si>
    <t>FCR A 00013-00024158</t>
  </si>
  <si>
    <t>FCR A 00008-00448279</t>
  </si>
  <si>
    <t>FCR A 00008-00448280</t>
  </si>
  <si>
    <t>FCR A 00002-00024962</t>
  </si>
  <si>
    <t>FCR C 00005-00000220</t>
  </si>
  <si>
    <t>FCR A 00003-00009236</t>
  </si>
  <si>
    <t>FCR A 00026-00072977</t>
  </si>
  <si>
    <t>FCR A 08304-00057868</t>
  </si>
  <si>
    <t>FCR A 07554-00043630</t>
  </si>
  <si>
    <t>FCR A 00006-00018541</t>
  </si>
  <si>
    <t>FCR A 00002-00004172</t>
  </si>
  <si>
    <t>ROLYPACK S.R.L.</t>
  </si>
  <si>
    <t>FCR A 00003-00000203</t>
  </si>
  <si>
    <t>FCR A 00003-00000084</t>
  </si>
  <si>
    <t>FCR A 00001-00084307</t>
  </si>
  <si>
    <t>FCR A 00002-00009685</t>
  </si>
  <si>
    <t>FCR A 00012-00023745</t>
  </si>
  <si>
    <t>FCR A 00012-00023297</t>
  </si>
  <si>
    <t>FCR A 00031-00066761</t>
  </si>
  <si>
    <t>FCR A 70019-33544380</t>
  </si>
  <si>
    <t>FCR A 00280-01690001</t>
  </si>
  <si>
    <t>FCR A 00002-00487052</t>
  </si>
  <si>
    <t>FCR A 00002-00027081</t>
  </si>
  <si>
    <t>R1    -29072026</t>
  </si>
  <si>
    <t>R1    -20265233</t>
  </si>
  <si>
    <t>FCR A 00026-00073051</t>
  </si>
  <si>
    <t>FCR A 00002-00226798</t>
  </si>
  <si>
    <t>FCR A 00002-00283856</t>
  </si>
  <si>
    <t>R1    -00072026</t>
  </si>
  <si>
    <t>TRANSFER MULTISORT ELEKTRONIK SP. Z.O.O.</t>
  </si>
  <si>
    <t>FCR I 00012-61435455</t>
  </si>
  <si>
    <t>FCR A 00002-00009714</t>
  </si>
  <si>
    <t>FCR A 00012-00002231</t>
  </si>
  <si>
    <t>VISION AUTOMATION SA</t>
  </si>
  <si>
    <t>FCR I 00035-77102026</t>
  </si>
  <si>
    <t>FCR A 00005-00698374</t>
  </si>
  <si>
    <t>NCR A 00005-00104301</t>
  </si>
  <si>
    <t>NCR A 00005-00104302</t>
  </si>
  <si>
    <t>NCR A 00005-00104303</t>
  </si>
  <si>
    <t>FCR A 00010-00092091</t>
  </si>
  <si>
    <t>FCR A 00002-00037774</t>
  </si>
  <si>
    <t>FCR A 00002-00027108</t>
  </si>
  <si>
    <t>FCR A 00026-00073145</t>
  </si>
  <si>
    <t>FCR A 00003-00000817</t>
  </si>
  <si>
    <t>FCR A 00008-00305878</t>
  </si>
  <si>
    <t>FCR A 00002-00009725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</si>
</sst>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$&quot;* #,##0.00_);_(&quot;$&quot;* \(#,##0.00\);_(&quot;$&quot;* &quot;-&quot;??_);_(@_)"/>
    <numFmt numFmtId="165" formatCode="_-[$USD]\ * #,##0.00_-;\-[$USD]\ * #,##0.00_-;_-[$USD]\ * &quot;-&quot;??_-;_-@_-"/>
    <numFmt numFmtId="166" formatCode="#,##0.00_);[Red]\(#,##0.00\)"/>
    <numFmt numFmtId="168" formatCode="dd/mm/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40" fontId="0" fillId="0" borderId="0" xfId="0" applyNumberFormat="1"/>
    <xf numFmtId="0" fontId="0" fillId="0" borderId="1" xfId="0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4" fontId="0" fillId="0" borderId="1" xfId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/>
    </xf>
    <xf numFmtId="165" fontId="0" fillId="0" borderId="2" xfId="1" applyNumberFormat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0" fontId="3" fillId="0" borderId="0" xfId="0" applyFont="1"/>
    <xf numFmtId="0" fontId="0" fillId="2" borderId="0" xfId="0" applyFill="1"/>
    <xf numFmtId="165" fontId="0" fillId="0" borderId="3" xfId="1" applyNumberFormat="1" applyFont="1" applyFill="1" applyBorder="1" applyAlignment="1">
      <alignment vertical="center"/>
    </xf>
    <xf numFmtId="0" fontId="4" fillId="0" borderId="0" xfId="0" applyFont="1"/>
    <xf numFmtId="166" fontId="0" fillId="0" borderId="0" xfId="0" applyNumberFormat="1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165" fontId="0" fillId="3" borderId="1" xfId="1" applyNumberFormat="1" applyFont="1" applyFill="1" applyBorder="1" applyAlignment="1">
      <alignment vertical="center"/>
    </xf>
    <xf numFmtId="164" fontId="0" fillId="3" borderId="1" xfId="1" applyFont="1" applyFill="1" applyBorder="1" applyAlignment="1">
      <alignment vertical="center"/>
    </xf>
    <xf numFmtId="0" fontId="4" fillId="3" borderId="1" xfId="0" applyFont="1" applyFill="1" applyBorder="1"/>
    <xf numFmtId="0" fontId="0" fillId="0" borderId="0" xfId="0" applyFill="1"/>
    <xf numFmtId="166" fontId="0" fillId="0" borderId="0" xfId="0" applyNumberFormat="1" applyFill="1"/>
    <xf numFmtId="168" fontId="0" fillId="0" borderId="0" xfId="0" applyNumberFormat="1" applyFill="1"/>
    <xf numFmtId="168" fontId="0" fillId="0" borderId="0" xfId="0" applyNumberFormat="1"/>
  </cellXfs>
  <cellStyles count="2">
    <cellStyle name="Moneda" xfId="1" builtinId="4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[$USD]\ * #,##0.00_-;\-[$USD]\ * #,##0.00_-;_-[$USD]\ 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[$USD]\ * #,##0.00_-;\-[$USD]\ * #,##0.00_-;_-[$USD]\ 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#,##0.00_);[Red]\(#,##0.00\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7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808080"/>
        </patternFill>
      </fill>
    </dxf>
  </dxfs>
  <tableStyles count="1" defaultTableStyle="TableStyleMedium2" defaultPivotStyle="PivotStyleLight16">
    <tableStyle name="Invisible" pivot="0" table="0" count="0" xr9:uid="{E4A50D79-C821-4A70-B06B-DAAD7EB421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openxmlformats.org/officeDocument/2006/relationships/externalLink" Target="externalLinks/externalLink36.xml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42" Type="http://schemas.openxmlformats.org/officeDocument/2006/relationships/sharedStrings" Target="sharedStrings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openxmlformats.org/officeDocument/2006/relationships/externalLink" Target="externalLinks/externalLink2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externalLink" Target="externalLinks/externalLink34.xml"/><Relationship Id="rId40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4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43" Type="http://schemas.openxmlformats.org/officeDocument/2006/relationships/calcChain" Target="calcChain.xml"/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externalLink" Target="externalLinks/externalLink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5</xdr:row>
          <xdr:rowOff>76200</xdr:rowOff>
        </xdr:from>
        <xdr:to>
          <xdr:col>12</xdr:col>
          <xdr:colOff>495300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FACTURAS DESDE 'Libro1'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8</xdr:row>
          <xdr:rowOff>66675</xdr:rowOff>
        </xdr:from>
        <xdr:to>
          <xdr:col>12</xdr:col>
          <xdr:colOff>495300</xdr:colOff>
          <xdr:row>10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DOLARIZAR FACTURAS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sino%20Club\S-2025.052_Proy+15\1_Presupuesto\1_4_Lista%20de%20materiales\Materiales_rev2.xlsm" TargetMode="External"/><Relationship Id="rId1" Type="http://schemas.openxmlformats.org/officeDocument/2006/relationships/externalLinkPath" Target="/Ingenieria%202.0/Casino%20Club/S-2025.052_Proy+15/1_Presupuesto/1_4_Lista%20de%20materiales/Materiales_rev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HAPSA\S-2025.002_RIyM-TE\1_Presupuesto\1_4_Lista%20de%20materiales\Materiales_rev2.xlsm" TargetMode="External"/><Relationship Id="rId1" Type="http://schemas.openxmlformats.org/officeDocument/2006/relationships/externalLinkPath" Target="/Ingenieria%202.0/HAPSA/S-2025.002_RIyM-TE/1_Presupuesto/1_4_Lista%20de%20materiales/Materiales_rev2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TERNIUM\S-2024.073_TPPZ\1_Presupuesto\1_4_Lista%20de%20materiales\Materiales%20internos%20y%20gabinetes%20pvc%20rev_2.xlsm" TargetMode="External"/><Relationship Id="rId1" Type="http://schemas.openxmlformats.org/officeDocument/2006/relationships/externalLinkPath" Target="/Ingenieria%202.0/TERNIUM/S-2024.073_TPPZ/1_Presupuesto/1_4_Lista%20de%20materiales/Materiales%20internos%20y%20gabinetes%20pvc%20rev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zul%20Natural%20Beef\S-2024.088_AlimSM1\1_Presupuesto\1_4_Lista%20de%20materiales\Materiales%20-%20rev2.xlsm" TargetMode="External"/><Relationship Id="rId1" Type="http://schemas.openxmlformats.org/officeDocument/2006/relationships/externalLinkPath" Target="/Ingenieria%202.0/Azul%20Natural%20Beef/S-2024.088_AlimSM1/1_Presupuesto/1_4_Lista%20de%20materiales/Materiales%20-%20rev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er&#225;mica%20San%20Lorenzo\S-2025.008_ITr13.2\1_Presupuesto\1_4_Lista%20de%20materiales\Materiales_rev4.xlsm" TargetMode="External"/><Relationship Id="rId1" Type="http://schemas.openxmlformats.org/officeDocument/2006/relationships/externalLinkPath" Target="/Ingenieria%202.0/Cer&#225;mica%20San%20Lorenzo/S-2025.008_ITr13.2/1_Presupuesto/1_4_Lista%20de%20materiales/Materiales_rev4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zul%20Natural%20Beef\S-2025.017_CoTG1.E2\1_Presupuesto\1_4_Lista%20de%20materiales\Materiales%20CoTG1.E2_rev3.xlsm" TargetMode="External"/><Relationship Id="rId1" Type="http://schemas.openxmlformats.org/officeDocument/2006/relationships/externalLinkPath" Target="/Ingenieria%202.0/Azul%20Natural%20Beef/S-2025.017_CoTG1.E2/1_Presupuesto/1_4_Lista%20de%20materiales/Materiales%20CoTG1.E2_rev3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sino%20Club\S-2025.089_Berr2025\1_Presupuesto\1_4_Lista%20de%20materiales\S-2025.089_Berr2025-LM_03.xlsm" TargetMode="External"/><Relationship Id="rId1" Type="http://schemas.openxmlformats.org/officeDocument/2006/relationships/externalLinkPath" Target="/Ingenieria%202.0/Casino%20Club/S-2025.089_Berr2025/1_Presupuesto/1_4_Lista%20de%20materiales/S-2025.089_Berr2025-LM_03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TERNIUM\S-2025.010_TSNav\1_Presupuesto\1_4_Lista%20de%20materiales\Materiales_rev2.1.xlsm" TargetMode="External"/><Relationship Id="rId1" Type="http://schemas.openxmlformats.org/officeDocument/2006/relationships/externalLinkPath" Target="/Ingenieria%202.0/TERNIUM/S-2025.010_TSNav/1_Presupuesto/1_4_Lista%20de%20materiales/Materiales_rev2.1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sino%20Club\S-2024.069_Hall+7\1_Presupuesto\1_4_Lista%20de%20materiales\Lista%20de%20Materiales%20Hall+7_rev3.xlsm" TargetMode="External"/><Relationship Id="rId1" Type="http://schemas.openxmlformats.org/officeDocument/2006/relationships/externalLinkPath" Target="/Ingenieria%202.0/Casino%20Club/S-2024.069_Hall+7/1_Presupuesto/1_4_Lista%20de%20materiales/Lista%20de%20Materiales%20Hall+7_rev3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HAPSA\S-2025.082_RefCocRab\1_Presupuesto\1_4_Lista%20de%20materiales\S-2025.082_RefCocRab-LM_08.xlsm" TargetMode="External"/><Relationship Id="rId1" Type="http://schemas.openxmlformats.org/officeDocument/2006/relationships/externalLinkPath" Target="/Ingenieria%202.0/HAPSA/S-2025.082_RefCocRab/1_Presupuesto/1_4_Lista%20de%20materiales/S-2025.082_RefCocRab-LM_08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Loma%20Negra\S-2024.083_T.Dist\1_Presupuesto\1_4_Lista%20de%20materiales\Lista%20de%20materiales_rev4.xlsm" TargetMode="External"/><Relationship Id="rId1" Type="http://schemas.openxmlformats.org/officeDocument/2006/relationships/externalLinkPath" Target="/Ingenieria%202.0/Loma%20Negra/S-2024.083_T.Dist/1_Presupuesto/1_4_Lista%20de%20materiales/Lista%20de%20materiales_rev4.xlsm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BB\S-2025.006_TSSh45\1_Presupuesto\1_4_Lista%20de%20materiales\Materiales_rev2.xlsm" TargetMode="External"/><Relationship Id="rId1" Type="http://schemas.openxmlformats.org/officeDocument/2006/relationships/externalLinkPath" Target="/Ingenieria%202.0/ABB/S-2025.006_TSSh45/1_Presupuesto/1_4_Lista%20de%20materiales/Materiales_rev2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TERNIUM\S-2025.041_T-TDA-C\1_Presupuesto\1_4_Lista%20de%20materiales\TDA-C%20calor&#237;metros%20-%20rev3.xlsm" TargetMode="External"/><Relationship Id="rId1" Type="http://schemas.openxmlformats.org/officeDocument/2006/relationships/externalLinkPath" Target="/Ingenieria%202.0/TERNIUM/S-2025.041_T-TDA-C/1_Presupuesto/1_4_Lista%20de%20materiales/TDA-C%20calor&#237;metros%20-%20rev3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gnoli\S-2025.040_CCM-D\1_Presupuesto\1_4_Lista%20de%20materiales\Lista%20de%20materiales%20CCM-D_rev2%20INTECH.xlsm" TargetMode="External"/><Relationship Id="rId1" Type="http://schemas.openxmlformats.org/officeDocument/2006/relationships/externalLinkPath" Target="/Ingenieria%202.0/Cagnoli/S-2025.040_CCM-D/1_Presupuesto/1_4_Lista%20de%20materiales/Lista%20de%20materiales%20CCM-D_rev2%20INTECH.xlsm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BinBaires\S-2025.011_RecUPS\1_Presupuesto\1_4_Lista%20de%20materiales\Lista%20materiales%20Rev2.xlsm" TargetMode="External"/><Relationship Id="rId1" Type="http://schemas.openxmlformats.org/officeDocument/2006/relationships/externalLinkPath" Target="/Ingenieria%202.0/BinBaires/S-2025.011_RecUPS/1_Presupuesto/1_4_Lista%20de%20materiales/Lista%20materiales%20Rev2.xlsm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TERNIUM\S-2025.116_TT.Inox\1_Presupuesto\1_4_Lista%20de%20materiales\S-2025.116_TT.Inox-LM_01.xlsm" TargetMode="External"/><Relationship Id="rId1" Type="http://schemas.openxmlformats.org/officeDocument/2006/relationships/externalLinkPath" Target="/Ingenieria%202.0/TERNIUM/S-2025.116_TT.Inox/1_Presupuesto/1_4_Lista%20de%20materiales/S-2025.116_TT.Inox-LM_01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gnoli\S-2025.076_T.TG008\1_Presupuesto\1_4_Lista%20de%20materiales\Materiales_rev9.xlsm" TargetMode="External"/><Relationship Id="rId1" Type="http://schemas.openxmlformats.org/officeDocument/2006/relationships/externalLinkPath" Target="/Ingenieria%202.0/Cagnoli/S-2025.076_T.TG008/1_Presupuesto/1_4_Lista%20de%20materiales/Materiales_rev9.xlsm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Ecocontrol\S-2025.100_T.HVAC.An\1_Presupuesto\1_4_Lista%20de%20materiales\S-2025.100_T.HVAC.An-LM_3.xlsm" TargetMode="External"/><Relationship Id="rId1" Type="http://schemas.openxmlformats.org/officeDocument/2006/relationships/externalLinkPath" Target="/Ingenieria%202.0/Ecocontrol/S-2025.100_T.HVAC.An/1_Presupuesto/1_4_Lista%20de%20materiales/S-2025.100_T.HVAC.An-LM_3.xlsm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BB\S-2025.029_Sh.PTC\2_Dise&#241;o%20y%20Desarrollo\2_4_Lista%20de%20materiales\Cambios%20en%20Tableros\S-2025.029-SH%20PTC%20LAJE-Costo%20Real%20Tablero-00.xlsm" TargetMode="External"/><Relationship Id="rId1" Type="http://schemas.openxmlformats.org/officeDocument/2006/relationships/externalLinkPath" Target="/Ingenieria%202.0/ABB/S-2025.029_Sh.PTC/2_Dise&#241;o%20y%20Desarrollo/2_4_Lista%20de%20materiales/Cambios%20en%20Tableros/S-2025.029-SH%20PTC%20LAJE-Costo%20Real%20Tablero-00.xlsm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BB\S-2025.029_Sh.PTC\1_Presupuesto\1_4_Lista%20de%20materiales\Materiales%20-%20SH%20PTC%20LAJE_rev5.xlsm" TargetMode="External"/><Relationship Id="rId1" Type="http://schemas.openxmlformats.org/officeDocument/2006/relationships/externalLinkPath" Target="/Ingenieria%202.0/ABB/S-2025.029_Sh.PTC/1_Presupuesto/1_4_Lista%20de%20materiales/Materiales%20-%20SH%20PTC%20LAJE_rev5.xlsm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BB\S-2025.080_T.TAPCOM\1_Presupuesto\1_4_Lista%20de%20materiales\Materiales_rev7.xlsm" TargetMode="External"/><Relationship Id="rId1" Type="http://schemas.openxmlformats.org/officeDocument/2006/relationships/externalLinkPath" Target="/Ingenieria%202.0/ABB/S-2025.080_T.TAPCOM/1_Presupuesto/1_4_Lista%20de%20materiales/Materiales_rev7.xlsm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ORMAZABAL\S-2025.081_TCeISC\1_Presupuesto\1_4_Lista%20de%20materiales\S-2025.081-TCelSC-LM_01.xlsm" TargetMode="External"/><Relationship Id="rId1" Type="http://schemas.openxmlformats.org/officeDocument/2006/relationships/externalLinkPath" Target="/Ingenieria%202.0/ORMAZABAL/S-2025.081_TCeISC/1_Presupuesto/1_4_Lista%20de%20materiales/S-2025.081-TCelSC-LM_01.xlsm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Ecocontrol\S-2025.101_T.VentVar\1_Presupuesto\1_4_Lista%20de%20materiales\S-2025.101_T.VentVar-LM_01.xlsm" TargetMode="External"/><Relationship Id="rId1" Type="http://schemas.openxmlformats.org/officeDocument/2006/relationships/externalLinkPath" Target="/Ingenieria%202.0/Ecocontrol/S-2025.101_T.VentVar/1_Presupuesto/1_4_Lista%20de%20materiales/S-2025.101_T.VentVar-LM_01.xlsm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Ecocontrol\S-2025.107_T.HVAC.All\1_Presupuesto\1_4_Lista%20de%20materiales\S-2025.107_T.HVAC.All-LM_00.xlsm" TargetMode="External"/><Relationship Id="rId1" Type="http://schemas.openxmlformats.org/officeDocument/2006/relationships/externalLinkPath" Target="/Ingenieria%202.0/Ecocontrol/S-2025.107_T.HVAC.All/1_Presupuesto/1_4_Lista%20de%20materiales/S-2025.107_T.HVAC.All-LM_00.xlsm" TargetMode="External"/></Relationships>
</file>

<file path=xl/externalLinks/_rels/externalLink2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BB\S-2025.083_RacComm\1_Presupuesto\1_4_Lista%20de%20materiales\S-2025.083-RacComm-LM_02.xlsm" TargetMode="External"/><Relationship Id="rId1" Type="http://schemas.openxmlformats.org/officeDocument/2006/relationships/externalLinkPath" Target="/Ingenieria%202.0/ABB/S-2025.083_RacComm/1_Presupuesto/1_4_Lista%20de%20materiales/S-2025.083-RacComm-LM_02.xlsm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HLADAN\S-2025.111_CanHVAC+20\1_Presupuesto\1_4_Lista%20de%20materiales\S-2025.111_CanHVAC+20-LM_3.xlsm" TargetMode="External"/><Relationship Id="rId1" Type="http://schemas.openxmlformats.org/officeDocument/2006/relationships/externalLinkPath" Target="/Ingenieria%202.0/HLADAN/S-2025.111_CanHVAC+20/1_Presupuesto/1_4_Lista%20de%20materiales/S-2025.111_CanHVAC+20-LM_3.xlsm" TargetMode="External"/></Relationships>
</file>

<file path=xl/externalLinks/_rels/externalLink2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Refineria%20del%20Centro%20(RDC)\S-2025.106_TE-NuEnv\1_Presupuesto\1_4_Lista%20de%20materiales\S-2025.106_TE-NuEnv-LM_6.xlsm" TargetMode="External"/><Relationship Id="rId1" Type="http://schemas.openxmlformats.org/officeDocument/2006/relationships/externalLinkPath" Target="/Ingenieria%202.0/Refineria%20del%20Centro%20(RDC)/S-2025.106_TE-NuEnv/1_Presupuesto/1_4_Lista%20de%20materiales/S-2025.106_TE-NuEnv-LM_6.xlsm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TECNICAS%20REUNIDAS\S-2025.104_TES-CamPC\1_Presupuesto\1_4_Lista%20de%20materiales\S-2025.104_TES-CamPC-LM_07.xlsm" TargetMode="External"/><Relationship Id="rId1" Type="http://schemas.openxmlformats.org/officeDocument/2006/relationships/externalLinkPath" Target="/Ingenieria%202.0/TECNICAS%20REUNIDAS/S-2025.104_TES-CamPC/1_Presupuesto/1_4_Lista%20de%20materiales/S-2025.104_TES-CamPC-LM_07.xlsm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sino%20Club\S-2025.114_Ref+7+11\1_Presupuesto\1_4_Lista%20de%20materiales\Casino%20Club%20S-2025.114_Ref+7+11-LM_2.xlsm" TargetMode="External"/><Relationship Id="rId1" Type="http://schemas.openxmlformats.org/officeDocument/2006/relationships/externalLinkPath" Target="/Ingenieria%202.0/Casino%20Club/S-2025.114_Ref+7+11/1_Presupuesto/1_4_Lista%20de%20materiales/Casino%20Club%20S-2025.114_Ref+7+11-LM_2.xlsm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Refineria%20del%20Centro%20(RDC)\S-2026.016_TGBT-Env\1_Presupuesto\1_4_Lista%20de%20materiales\S-2026.016_TGBT-Env-LM_01.xlsm" TargetMode="External"/><Relationship Id="rId1" Type="http://schemas.openxmlformats.org/officeDocument/2006/relationships/externalLinkPath" Target="/Ingenieria%202.0/Refineria%20del%20Centro%20(RDC)/S-2026.016_TGBT-Env/1_Presupuesto/1_4_Lista%20de%20materiales/S-2026.016_TGBT-Env-LM_01.xlsm" TargetMode="External"/></Relationships>
</file>

<file path=xl/externalLinks/_rels/externalLink3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sino%20Club\S-2026.040_HVAC+7\1_Presupuesto\1_4_Lista%20de%20materiales\S-2026.040_HVAC+7-LM_8.xlsm" TargetMode="External"/><Relationship Id="rId1" Type="http://schemas.openxmlformats.org/officeDocument/2006/relationships/externalLinkPath" Target="/Ingenieria%202.0/Casino%20Club/S-2026.040_HVAC+7/1_Presupuesto/1_4_Lista%20de%20materiales/S-2026.040_HVAC+7-LM_8.xlsm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ESA\S-2026.046_AESA-VMOS\1_Presupuesto\1_4_Lista%20de%20materiales\S-2026.046_AESA-VMOS_SCHNEIDER-LM_02.xlsm" TargetMode="External"/><Relationship Id="rId1" Type="http://schemas.openxmlformats.org/officeDocument/2006/relationships/externalLinkPath" Target="/Ingenieria%202.0/AESA/S-2026.046_AESA-VMOS/1_Presupuesto/1_4_Lista%20de%20materiales/S-2026.046_AESA-VMOS_SCHNEIDER-LM_02.xlsm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Cagnoli\S-2026.045_T.BombasT\1_Presupuesto\1_4_Lista%20de%20materiales\S-2026.045_T.BombasT-LM_7.xlsm" TargetMode="External"/><Relationship Id="rId1" Type="http://schemas.openxmlformats.org/officeDocument/2006/relationships/externalLinkPath" Target="/Ingenieria%202.0/Cagnoli/S-2026.045_T.BombasT/1_Presupuesto/1_4_Lista%20de%20materiales/S-2026.045_T.BombasT-LM_7.xlsm" TargetMode="External"/></Relationships>
</file>

<file path=xl/externalLinks/_rels/externalLink3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AESA\S-2026.055_TGBT-ALLEN\1_Presupuesto\1_4_Lista%20de%20materiales\S-2026.055_TGBT-ALLEN-LM_6.xlsm" TargetMode="External"/><Relationship Id="rId1" Type="http://schemas.openxmlformats.org/officeDocument/2006/relationships/externalLinkPath" Target="/Ingenieria%202.0/AESA/S-2026.055_TGBT-ALLEN/1_Presupuesto/1_4_Lista%20de%20materiales/S-2026.055_TGBT-ALLEN-LM_6.xlsm" TargetMode="External"/></Relationships>
</file>

<file path=xl/externalLinks/_rels/externalLink3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ORMAZABAL\S-2026.062_T.1000A\1_Presupuesto\1_4_Lista%20de%20materiales\S-2026.062_T.1000A-LM_07.xlsm" TargetMode="External"/><Relationship Id="rId1" Type="http://schemas.openxmlformats.org/officeDocument/2006/relationships/externalLinkPath" Target="/Ingenieria%202.0/ORMAZABAL/S-2026.062_T.1000A/1_Presupuesto/1_4_Lista%20de%20materiales/S-2026.062_T.1000A-LM_07.xlsm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Ingenieria%202.0\Pan-Energy\S-2026.041_APOyCASE\1_Presupuesto\1_4_Lista%20de%20materiales\S-2026.041_APOyCASE-LM_03.xlsm" TargetMode="External"/><Relationship Id="rId1" Type="http://schemas.openxmlformats.org/officeDocument/2006/relationships/externalLinkPath" Target="/Ingenieria%202.0/Pan-Energy/S-2026.041_APOyCASE/1_Presupuesto/1_4_Lista%20de%20materiales/S-2026.041_APOyCASE-LM_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1195</v>
          </cell>
        </row>
        <row r="3">
          <cell r="T3">
            <v>87389.15357282052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1052.5</v>
          </cell>
        </row>
        <row r="3">
          <cell r="T3">
            <v>3862.54</v>
          </cell>
        </row>
      </sheetData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995.5</v>
          </cell>
        </row>
        <row r="3">
          <cell r="T3">
            <v>23049.875314113513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864</v>
          </cell>
        </row>
        <row r="3">
          <cell r="T3">
            <v>2530.9549599023462</v>
          </cell>
        </row>
      </sheetData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1070</v>
          </cell>
        </row>
        <row r="3">
          <cell r="T3">
            <v>24039.964112149537</v>
          </cell>
        </row>
      </sheetData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1124</v>
          </cell>
        </row>
        <row r="3">
          <cell r="T3">
            <v>1264.8240107692914</v>
          </cell>
        </row>
      </sheetData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1409</v>
          </cell>
          <cell r="G2">
            <v>20913.170122746633</v>
          </cell>
        </row>
      </sheetData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>
        <row r="1">
          <cell r="L1">
            <v>1072</v>
          </cell>
        </row>
      </sheetData>
      <sheetData sheetId="3"/>
      <sheetData sheetId="4">
        <row r="3">
          <cell r="T3">
            <v>20866.626139925378</v>
          </cell>
        </row>
      </sheetData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991</v>
          </cell>
        </row>
        <row r="3">
          <cell r="T3">
            <v>2274.5403962105238</v>
          </cell>
        </row>
      </sheetData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3">
          <cell r="T3">
            <v>2267.0185866201086</v>
          </cell>
        </row>
      </sheetData>
      <sheetData sheetId="5"/>
      <sheetData sheetId="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1048</v>
          </cell>
        </row>
        <row r="3">
          <cell r="T3">
            <v>2806.8467792867705</v>
          </cell>
        </row>
      </sheetData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1068</v>
          </cell>
        </row>
        <row r="3">
          <cell r="T3">
            <v>4286.9601612777406</v>
          </cell>
        </row>
      </sheetData>
      <sheetData sheetId="5"/>
      <sheetData sheetId="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1142</v>
          </cell>
        </row>
        <row r="3">
          <cell r="T3">
            <v>568.86784367862663</v>
          </cell>
        </row>
      </sheetData>
      <sheetData sheetId="5"/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1160</v>
          </cell>
        </row>
        <row r="3">
          <cell r="T3">
            <v>6740.8644642482423</v>
          </cell>
        </row>
      </sheetData>
      <sheetData sheetId="5"/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1074.25</v>
          </cell>
        </row>
        <row r="3">
          <cell r="T3">
            <v>795.60267677978675</v>
          </cell>
        </row>
      </sheetData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1445</v>
          </cell>
        </row>
        <row r="3">
          <cell r="T3">
            <v>764.50789430452414</v>
          </cell>
        </row>
      </sheetData>
      <sheetData sheetId="5"/>
      <sheetData sheetId="6"/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3">
          <cell r="T3">
            <v>18359.095389929684</v>
          </cell>
        </row>
      </sheetData>
      <sheetData sheetId="5"/>
      <sheetData sheetId="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1406</v>
          </cell>
          <cell r="G2">
            <v>3140.110339235976</v>
          </cell>
        </row>
      </sheetData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1435</v>
          </cell>
          <cell r="G2">
            <v>22226.820149027888</v>
          </cell>
        </row>
      </sheetData>
      <sheetData sheetId="6"/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3">
          <cell r="T3">
            <v>48609.03416105231</v>
          </cell>
        </row>
      </sheetData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>
        <row r="3">
          <cell r="L3">
            <v>16879.189330912988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3">
          <cell r="T3">
            <v>689.22882837695988</v>
          </cell>
        </row>
      </sheetData>
      <sheetData sheetId="5"/>
      <sheetData sheetId="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1415</v>
          </cell>
        </row>
        <row r="3">
          <cell r="T3">
            <v>1758.96582877318</v>
          </cell>
        </row>
      </sheetData>
      <sheetData sheetId="5"/>
      <sheetData sheetId="6"/>
      <sheetData sheetId="7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1">
          <cell r="T1">
            <v>1475</v>
          </cell>
        </row>
        <row r="3">
          <cell r="T3">
            <v>2441.1368306216559</v>
          </cell>
        </row>
      </sheetData>
      <sheetData sheetId="5"/>
      <sheetData sheetId="6"/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3">
          <cell r="T3">
            <v>1466.4790114542939</v>
          </cell>
        </row>
      </sheetData>
      <sheetData sheetId="5"/>
      <sheetData sheetId="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1">
          <cell r="E1">
            <v>1480</v>
          </cell>
        </row>
        <row r="2">
          <cell r="G2">
            <v>2023.3113593503779</v>
          </cell>
        </row>
      </sheetData>
      <sheetData sheetId="6"/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1451</v>
          </cell>
          <cell r="G2">
            <v>301241.40316828201</v>
          </cell>
        </row>
      </sheetData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1447.5</v>
          </cell>
          <cell r="G2">
            <v>68396.270940006129</v>
          </cell>
        </row>
      </sheetData>
      <sheetData sheetId="6"/>
      <sheetData sheetId="7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1452</v>
          </cell>
          <cell r="G2">
            <v>12416.244024218631</v>
          </cell>
        </row>
      </sheetData>
      <sheetData sheetId="6"/>
      <sheetData sheetId="7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>
        <row r="3">
          <cell r="T3">
            <v>64633.605633802807</v>
          </cell>
        </row>
      </sheetData>
      <sheetData sheetId="5">
        <row r="2">
          <cell r="E2">
            <v>1397</v>
          </cell>
        </row>
      </sheetData>
      <sheetData sheetId="6"/>
      <sheetData sheetId="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1">
          <cell r="E1">
            <v>1415</v>
          </cell>
        </row>
        <row r="2">
          <cell r="G2">
            <v>6894.2279416267602</v>
          </cell>
        </row>
      </sheetData>
      <sheetData sheetId="6"/>
      <sheetData sheetId="7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1">
          <cell r="E1">
            <v>1430</v>
          </cell>
        </row>
        <row r="6">
          <cell r="K6">
            <v>6127.1028098796432</v>
          </cell>
        </row>
      </sheetData>
      <sheetData sheetId="6"/>
      <sheetData sheetId="7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1477</v>
          </cell>
          <cell r="G2">
            <v>10218.404718917949</v>
          </cell>
        </row>
      </sheetData>
      <sheetData sheetId="6"/>
      <sheetData sheetId="7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1489</v>
          </cell>
          <cell r="G2">
            <v>1426.8728720294148</v>
          </cell>
        </row>
      </sheetData>
      <sheetData sheetId="6"/>
      <sheetData sheetId="7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1478</v>
          </cell>
        </row>
        <row r="5">
          <cell r="G5">
            <v>7408.726778024442</v>
          </cell>
        </row>
      </sheetData>
      <sheetData sheetId="6"/>
      <sheetData sheetId="7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"/>
      <sheetName val="2"/>
      <sheetName val="3"/>
      <sheetName val="4"/>
      <sheetName val="Resumen"/>
      <sheetName val="Tabla Resumen"/>
      <sheetName val="Datos planilla"/>
      <sheetName val="Save_History"/>
    </sheetNames>
    <sheetDataSet>
      <sheetData sheetId="0"/>
      <sheetData sheetId="1"/>
      <sheetData sheetId="2"/>
      <sheetData sheetId="3"/>
      <sheetData sheetId="4"/>
      <sheetData sheetId="5">
        <row r="2">
          <cell r="E2">
            <v>1481</v>
          </cell>
          <cell r="G2">
            <v>8004.154365119537</v>
          </cell>
        </row>
      </sheetData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C4F8E9-F172-430F-BBFA-FF42557F3E3F}" name="Tabla2" displayName="Tabla2" ref="A1:J2583" totalsRowShown="0" headerRowDxfId="25" dataDxfId="24">
  <autoFilter ref="A1:J2583" xr:uid="{00000000-0001-0000-0000-000000000000}">
    <filterColumn colId="2">
      <filters>
        <dateGroupItem year="2026" dateTimeGrouping="year"/>
        <dateGroupItem year="2025" month="10" dateTimeGrouping="month"/>
      </filters>
    </filterColumn>
  </autoFilter>
  <sortState xmlns:xlrd2="http://schemas.microsoft.com/office/spreadsheetml/2017/richdata2" ref="A2:J2583">
    <sortCondition descending="1" ref="C1:C2583"/>
  </sortState>
  <tableColumns count="10">
    <tableColumn id="1" xr3:uid="{4B138D3F-F03F-45F8-8F6D-7AE99158AACE}" name="Proveedor" dataDxfId="23"/>
    <tableColumn id="2" xr3:uid="{19BE9A77-E6A8-4716-8011-2F94EB5A3F62}" name="Tipo de Comprobante" dataDxfId="22"/>
    <tableColumn id="3" xr3:uid="{8A1EDEB1-C237-48D0-909D-179CBAD340F5}" name="Fecha" dataDxfId="21"/>
    <tableColumn id="4" xr3:uid="{218D7F3D-6145-4367-B5D9-FADC5E196083}" name="Comprobante" dataDxfId="20"/>
    <tableColumn id="5" xr3:uid="{9CBF57CC-D460-443F-B60F-5C06C38E3151}" name="Artic.-Conc." dataDxfId="19"/>
    <tableColumn id="6" xr3:uid="{DBA97F5C-7A3B-47A6-A3B9-6F651223AFFD}" name="Centro de Costo" dataDxfId="18"/>
    <tableColumn id="8" xr3:uid="{79D96FEC-6D20-47F1-9B5D-9408ADAC2C17}" name="Importe Neto" dataDxfId="17"/>
    <tableColumn id="7" xr3:uid="{05AD5FE0-0679-4BAA-AAF4-1772BC9CBACB}" name="Cotizacion USD" dataDxfId="16"/>
    <tableColumn id="9" xr3:uid="{35018DE3-1E7F-488A-B149-6A26B5ED4260}" name="Importe USD" dataDxfId="15"/>
    <tableColumn id="10" xr3:uid="{493CD4DE-3CBA-4309-9096-C8EDF55EA2D8}" name="Importe Facturado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1BDCA7-7F1C-45B2-94FF-1E9B999F98C6}" name="TablaPresupuesto" displayName="TablaPresupuesto" ref="A1:G39" totalsRowShown="0" dataDxfId="8" tableBorderDxfId="7" dataCellStyle="Moneda">
  <autoFilter ref="A1:G39" xr:uid="{FE1BDCA7-7F1C-45B2-94FF-1E9B999F98C6}"/>
  <tableColumns count="7">
    <tableColumn id="1" xr3:uid="{F15A7D7B-036D-4112-9DD0-DC3C0E7F1DE9}" name="Centro de Costo" dataDxfId="6"/>
    <tableColumn id="2" xr3:uid="{CCB7505B-F28A-4847-B1BF-F1A78DF19F26}" name="Ubicación Presupuesto" dataDxfId="5"/>
    <tableColumn id="3" xr3:uid="{38B54E23-328C-4BB9-A756-7D00F159331C}" name="Presupuesto" dataDxfId="4" dataCellStyle="Moneda"/>
    <tableColumn id="4" xr3:uid="{3066D32C-91A8-4E2F-969B-E6D1469391CF}" name="USD" dataDxfId="3" dataCellStyle="Moneda"/>
    <tableColumn id="5" xr3:uid="{FAFB1129-84C1-4753-9CC7-36D953724246}" name="Importe" dataDxfId="2" dataCellStyle="Moneda">
      <calculatedColumnFormula>C2*D2</calculatedColumnFormula>
    </tableColumn>
    <tableColumn id="6" xr3:uid="{C9E3A5E7-9734-4486-97DE-E8E8C580DA3E}" name="Costo" dataDxfId="1" dataCellStyle="Moneda">
      <calculatedColumnFormula>SUMIF(Facturas!F:F, A2, Facturas!G:G)</calculatedColumnFormula>
    </tableColumn>
    <tableColumn id="10" xr3:uid="{46D735B1-4DC4-4404-B8FA-A4390D50A854}" name="Costo en USD" dataDxfId="0" dataCellStyle="Moneda">
      <calculatedColumnFormula>SUMIF(Facturas!F:F, A2, Facturas!I:I)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9442-2B6F-41E0-A7C4-5B9F8410EDBF}">
  <sheetPr codeName="Hoja1"/>
  <dimension ref="A1:J2583"/>
  <sheetViews>
    <sheetView showGridLines="0" zoomScaleNormal="100" workbookViewId="0">
      <selection activeCell="A9" sqref="A9:J14"/>
    </sheetView>
  </sheetViews>
  <sheetFormatPr baseColWidth="10" defaultColWidth="9.140625" defaultRowHeight="15" x14ac:dyDescent="0.25"/>
  <cols>
    <col min="1" max="1" width="46.28515625" bestFit="1" customWidth="1"/>
    <col min="2" max="2" width="39.85546875" bestFit="1" customWidth="1"/>
    <col min="3" max="3" width="11.28515625" bestFit="1" customWidth="1"/>
    <col min="4" max="4" width="20.85546875" bestFit="1" customWidth="1"/>
    <col min="5" max="5" width="47.85546875" bestFit="1" customWidth="1"/>
    <col min="6" max="6" width="35.85546875" bestFit="1" customWidth="1"/>
    <col min="7" max="7" width="22.425781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28</v>
      </c>
      <c r="H1" s="11" t="s">
        <v>74</v>
      </c>
      <c r="I1" s="11" t="s">
        <v>75</v>
      </c>
      <c r="J1" s="11" t="s">
        <v>2409</v>
      </c>
    </row>
    <row r="2" spans="1:10" x14ac:dyDescent="0.25">
      <c r="A2" s="20" t="s">
        <v>149</v>
      </c>
      <c r="B2" s="20" t="s">
        <v>199</v>
      </c>
      <c r="C2" s="22">
        <v>46245</v>
      </c>
      <c r="D2" s="20" t="s">
        <v>2474</v>
      </c>
      <c r="E2" s="20" t="s">
        <v>610</v>
      </c>
      <c r="F2" s="20" t="s">
        <v>621</v>
      </c>
      <c r="G2" s="21">
        <v>-58980.6</v>
      </c>
      <c r="H2" s="20">
        <v>1515</v>
      </c>
      <c r="I2" s="20">
        <v>-38.93</v>
      </c>
      <c r="J2" s="20">
        <v>-71362.600000000006</v>
      </c>
    </row>
    <row r="3" spans="1:10" x14ac:dyDescent="0.25">
      <c r="A3" s="20" t="s">
        <v>149</v>
      </c>
      <c r="B3" s="20" t="s">
        <v>199</v>
      </c>
      <c r="C3" s="22">
        <v>46245</v>
      </c>
      <c r="D3" s="20" t="s">
        <v>2474</v>
      </c>
      <c r="E3" s="20" t="s">
        <v>611</v>
      </c>
      <c r="F3" s="20" t="s">
        <v>621</v>
      </c>
      <c r="G3" s="21">
        <v>-1238.2</v>
      </c>
      <c r="H3" s="20">
        <v>1515</v>
      </c>
      <c r="I3" s="20">
        <v>-0.82</v>
      </c>
      <c r="J3" s="20">
        <v>-1238.2</v>
      </c>
    </row>
    <row r="4" spans="1:10" x14ac:dyDescent="0.25">
      <c r="A4" s="20" t="s">
        <v>149</v>
      </c>
      <c r="B4" s="20" t="s">
        <v>199</v>
      </c>
      <c r="C4" s="22">
        <v>46245</v>
      </c>
      <c r="D4" s="20" t="s">
        <v>2475</v>
      </c>
      <c r="E4" s="20" t="s">
        <v>610</v>
      </c>
      <c r="F4" s="20" t="s">
        <v>621</v>
      </c>
      <c r="G4" s="21">
        <v>-54200.4</v>
      </c>
      <c r="H4" s="20">
        <v>1515</v>
      </c>
      <c r="I4" s="20">
        <v>-35.78</v>
      </c>
      <c r="J4" s="20">
        <v>-65579.100000000006</v>
      </c>
    </row>
    <row r="5" spans="1:10" x14ac:dyDescent="0.25">
      <c r="A5" s="20" t="s">
        <v>149</v>
      </c>
      <c r="B5" s="20" t="s">
        <v>199</v>
      </c>
      <c r="C5" s="22">
        <v>46245</v>
      </c>
      <c r="D5" s="20" t="s">
        <v>2475</v>
      </c>
      <c r="E5" s="20" t="s">
        <v>611</v>
      </c>
      <c r="F5" s="20" t="s">
        <v>621</v>
      </c>
      <c r="G5" s="21">
        <v>-1128</v>
      </c>
      <c r="H5" s="20">
        <v>1515</v>
      </c>
      <c r="I5" s="20">
        <v>-0.74</v>
      </c>
      <c r="J5" s="20">
        <v>-1128</v>
      </c>
    </row>
    <row r="6" spans="1:10" x14ac:dyDescent="0.25">
      <c r="A6" s="20" t="s">
        <v>149</v>
      </c>
      <c r="B6" s="20" t="s">
        <v>199</v>
      </c>
      <c r="C6" s="22">
        <v>46245</v>
      </c>
      <c r="D6" s="20" t="s">
        <v>2476</v>
      </c>
      <c r="E6" s="20" t="s">
        <v>610</v>
      </c>
      <c r="F6" s="20" t="s">
        <v>621</v>
      </c>
      <c r="G6" s="21">
        <v>-54732.4</v>
      </c>
      <c r="H6" s="20">
        <v>1515</v>
      </c>
      <c r="I6" s="20">
        <v>-36.130000000000003</v>
      </c>
      <c r="J6" s="20">
        <v>-66232.649999999994</v>
      </c>
    </row>
    <row r="7" spans="1:10" x14ac:dyDescent="0.25">
      <c r="A7" s="20" t="s">
        <v>149</v>
      </c>
      <c r="B7" s="20" t="s">
        <v>199</v>
      </c>
      <c r="C7" s="22">
        <v>46245</v>
      </c>
      <c r="D7" s="20" t="s">
        <v>2476</v>
      </c>
      <c r="E7" s="20" t="s">
        <v>611</v>
      </c>
      <c r="F7" s="20" t="s">
        <v>621</v>
      </c>
      <c r="G7" s="21">
        <v>-1201.3</v>
      </c>
      <c r="H7" s="20">
        <v>1515</v>
      </c>
      <c r="I7" s="20">
        <v>-0.79</v>
      </c>
      <c r="J7" s="20">
        <v>-1201.3</v>
      </c>
    </row>
    <row r="8" spans="1:10" x14ac:dyDescent="0.25">
      <c r="A8" s="20" t="s">
        <v>1877</v>
      </c>
      <c r="B8" s="20" t="s">
        <v>88</v>
      </c>
      <c r="C8" s="22">
        <v>46245</v>
      </c>
      <c r="D8" s="20" t="s">
        <v>2478</v>
      </c>
      <c r="E8" s="20" t="s">
        <v>184</v>
      </c>
      <c r="F8" s="20" t="s">
        <v>69</v>
      </c>
      <c r="G8" s="21">
        <v>26400</v>
      </c>
      <c r="H8" s="20">
        <v>1515</v>
      </c>
      <c r="I8" s="20">
        <v>17.43</v>
      </c>
      <c r="J8" s="20">
        <v>31944</v>
      </c>
    </row>
    <row r="9" spans="1:10" x14ac:dyDescent="0.25">
      <c r="A9" s="20" t="s">
        <v>316</v>
      </c>
      <c r="B9" s="20" t="s">
        <v>88</v>
      </c>
      <c r="C9" s="22">
        <v>46245</v>
      </c>
      <c r="D9" s="20" t="s">
        <v>2479</v>
      </c>
      <c r="E9" s="20" t="s">
        <v>136</v>
      </c>
      <c r="F9" s="20" t="s">
        <v>2274</v>
      </c>
      <c r="G9" s="21">
        <v>2531886.8199999998</v>
      </c>
      <c r="H9" s="20">
        <v>1515</v>
      </c>
      <c r="I9" s="20">
        <v>1671.21</v>
      </c>
      <c r="J9" s="20">
        <v>3063583.05</v>
      </c>
    </row>
    <row r="10" spans="1:10" x14ac:dyDescent="0.25">
      <c r="A10" s="20" t="s">
        <v>426</v>
      </c>
      <c r="B10" s="20" t="s">
        <v>88</v>
      </c>
      <c r="C10" s="22">
        <v>46245</v>
      </c>
      <c r="D10" s="20" t="s">
        <v>2480</v>
      </c>
      <c r="E10" s="20" t="s">
        <v>136</v>
      </c>
      <c r="F10" s="20" t="s">
        <v>63</v>
      </c>
      <c r="G10" s="21">
        <v>183246.49</v>
      </c>
      <c r="H10" s="20">
        <v>1515</v>
      </c>
      <c r="I10" s="20">
        <v>120.95</v>
      </c>
      <c r="J10" s="20">
        <v>221728.25</v>
      </c>
    </row>
    <row r="11" spans="1:10" x14ac:dyDescent="0.25">
      <c r="A11" s="20" t="s">
        <v>161</v>
      </c>
      <c r="B11" s="20" t="s">
        <v>88</v>
      </c>
      <c r="C11" s="22">
        <v>46244</v>
      </c>
      <c r="D11" s="20" t="s">
        <v>2477</v>
      </c>
      <c r="E11" s="20" t="s">
        <v>136</v>
      </c>
      <c r="F11" s="20" t="s">
        <v>109</v>
      </c>
      <c r="G11" s="21">
        <v>88403.199999999997</v>
      </c>
      <c r="H11" s="20">
        <v>1520</v>
      </c>
      <c r="I11" s="20">
        <v>58.16</v>
      </c>
      <c r="J11" s="20">
        <v>106962.4</v>
      </c>
    </row>
    <row r="12" spans="1:10" x14ac:dyDescent="0.25">
      <c r="A12" s="20" t="s">
        <v>2449</v>
      </c>
      <c r="B12" s="20" t="s">
        <v>88</v>
      </c>
      <c r="C12" s="22">
        <v>46244</v>
      </c>
      <c r="D12" s="20" t="s">
        <v>2481</v>
      </c>
      <c r="E12" s="20" t="s">
        <v>274</v>
      </c>
      <c r="F12" s="20" t="s">
        <v>271</v>
      </c>
      <c r="G12" s="21">
        <v>64462.8</v>
      </c>
      <c r="H12" s="20">
        <v>1520</v>
      </c>
      <c r="I12" s="20">
        <v>42.41</v>
      </c>
      <c r="J12" s="20">
        <v>77999.990000000005</v>
      </c>
    </row>
    <row r="13" spans="1:10" x14ac:dyDescent="0.25">
      <c r="A13" s="20" t="s">
        <v>515</v>
      </c>
      <c r="B13" s="20" t="s">
        <v>88</v>
      </c>
      <c r="C13" s="22">
        <v>46244</v>
      </c>
      <c r="D13" s="20" t="s">
        <v>2483</v>
      </c>
      <c r="E13" s="20" t="s">
        <v>184</v>
      </c>
      <c r="F13" s="20" t="s">
        <v>2380</v>
      </c>
      <c r="G13" s="21">
        <v>72973.72</v>
      </c>
      <c r="H13" s="20">
        <v>1520</v>
      </c>
      <c r="I13" s="20">
        <v>48.01</v>
      </c>
      <c r="J13" s="20">
        <v>88298.2</v>
      </c>
    </row>
    <row r="14" spans="1:10" x14ac:dyDescent="0.25">
      <c r="A14" s="20" t="s">
        <v>515</v>
      </c>
      <c r="B14" s="20" t="s">
        <v>88</v>
      </c>
      <c r="C14" s="22">
        <v>46244</v>
      </c>
      <c r="D14" s="20" t="s">
        <v>2483</v>
      </c>
      <c r="E14" s="20" t="s">
        <v>184</v>
      </c>
      <c r="F14" s="20" t="s">
        <v>135</v>
      </c>
      <c r="G14" s="21">
        <v>26990.28</v>
      </c>
      <c r="H14" s="20">
        <v>1520</v>
      </c>
      <c r="I14" s="20">
        <v>17.760000000000002</v>
      </c>
      <c r="J14" s="20">
        <v>32658.240000000002</v>
      </c>
    </row>
    <row r="15" spans="1:10" x14ac:dyDescent="0.25">
      <c r="A15" t="s">
        <v>287</v>
      </c>
      <c r="B15" t="s">
        <v>88</v>
      </c>
      <c r="C15" s="1">
        <v>46241</v>
      </c>
      <c r="D15" t="s">
        <v>2458</v>
      </c>
      <c r="E15" t="s">
        <v>329</v>
      </c>
      <c r="F15" t="s">
        <v>2389</v>
      </c>
      <c r="G15" s="14">
        <v>-548022.27</v>
      </c>
      <c r="H15">
        <v>1520</v>
      </c>
      <c r="I15">
        <v>-360.54</v>
      </c>
      <c r="J15">
        <v>-548022.27</v>
      </c>
    </row>
    <row r="16" spans="1:10" x14ac:dyDescent="0.25">
      <c r="A16" t="s">
        <v>287</v>
      </c>
      <c r="B16" t="s">
        <v>88</v>
      </c>
      <c r="C16" s="1">
        <v>46241</v>
      </c>
      <c r="D16" t="s">
        <v>2458</v>
      </c>
      <c r="E16" t="s">
        <v>184</v>
      </c>
      <c r="F16" t="s">
        <v>2389</v>
      </c>
      <c r="G16" s="14">
        <v>570524.05000000005</v>
      </c>
      <c r="H16">
        <v>1520</v>
      </c>
      <c r="I16">
        <v>375.34</v>
      </c>
      <c r="J16">
        <v>690334.1</v>
      </c>
    </row>
    <row r="17" spans="1:10" x14ac:dyDescent="0.25">
      <c r="A17" t="s">
        <v>287</v>
      </c>
      <c r="B17" t="s">
        <v>88</v>
      </c>
      <c r="C17" s="1">
        <v>46241</v>
      </c>
      <c r="D17" t="s">
        <v>2458</v>
      </c>
      <c r="E17" t="s">
        <v>786</v>
      </c>
      <c r="F17" t="s">
        <v>2389</v>
      </c>
      <c r="G17" s="14">
        <v>-9.2799999999999994</v>
      </c>
      <c r="H17">
        <v>1520</v>
      </c>
      <c r="I17">
        <v>-0.01</v>
      </c>
      <c r="J17">
        <v>-9.2799999999999994</v>
      </c>
    </row>
    <row r="18" spans="1:10" x14ac:dyDescent="0.25">
      <c r="A18" t="s">
        <v>316</v>
      </c>
      <c r="B18" t="s">
        <v>88</v>
      </c>
      <c r="C18" s="1">
        <v>46241</v>
      </c>
      <c r="D18" t="s">
        <v>2460</v>
      </c>
      <c r="E18" t="s">
        <v>136</v>
      </c>
      <c r="F18" t="s">
        <v>2389</v>
      </c>
      <c r="G18" s="14">
        <v>3765802.92</v>
      </c>
      <c r="H18">
        <v>1520</v>
      </c>
      <c r="I18">
        <v>2477.5</v>
      </c>
      <c r="J18">
        <v>4556621.53</v>
      </c>
    </row>
    <row r="19" spans="1:10" x14ac:dyDescent="0.25">
      <c r="A19" t="s">
        <v>426</v>
      </c>
      <c r="B19" t="s">
        <v>88</v>
      </c>
      <c r="C19" s="1">
        <v>46241</v>
      </c>
      <c r="D19" t="s">
        <v>2463</v>
      </c>
      <c r="E19" t="s">
        <v>136</v>
      </c>
      <c r="F19" t="s">
        <v>2380</v>
      </c>
      <c r="G19" s="14">
        <v>1119255.25</v>
      </c>
      <c r="H19">
        <v>1520</v>
      </c>
      <c r="I19">
        <v>736.35</v>
      </c>
      <c r="J19">
        <v>1354298.85</v>
      </c>
    </row>
    <row r="20" spans="1:10" x14ac:dyDescent="0.25">
      <c r="A20" t="s">
        <v>426</v>
      </c>
      <c r="B20" t="s">
        <v>88</v>
      </c>
      <c r="C20" s="1">
        <v>46241</v>
      </c>
      <c r="D20" t="s">
        <v>2463</v>
      </c>
      <c r="E20" t="s">
        <v>136</v>
      </c>
      <c r="F20" t="s">
        <v>135</v>
      </c>
      <c r="G20" s="14">
        <v>373085.09</v>
      </c>
      <c r="H20">
        <v>1520</v>
      </c>
      <c r="I20">
        <v>245.45</v>
      </c>
      <c r="J20">
        <v>451432.96000000002</v>
      </c>
    </row>
    <row r="21" spans="1:10" x14ac:dyDescent="0.25">
      <c r="A21" t="s">
        <v>552</v>
      </c>
      <c r="B21" t="s">
        <v>88</v>
      </c>
      <c r="C21" s="1">
        <v>46241</v>
      </c>
      <c r="D21" t="s">
        <v>2470</v>
      </c>
      <c r="E21" t="s">
        <v>136</v>
      </c>
      <c r="F21" t="s">
        <v>2380</v>
      </c>
      <c r="G21" s="14">
        <v>299208</v>
      </c>
      <c r="H21">
        <v>1520</v>
      </c>
      <c r="I21">
        <v>196.85</v>
      </c>
      <c r="J21">
        <v>362041.68</v>
      </c>
    </row>
    <row r="22" spans="1:10" x14ac:dyDescent="0.25">
      <c r="A22" t="s">
        <v>515</v>
      </c>
      <c r="B22" t="s">
        <v>88</v>
      </c>
      <c r="C22" s="1">
        <v>46240</v>
      </c>
      <c r="D22" t="s">
        <v>2469</v>
      </c>
      <c r="E22" t="s">
        <v>184</v>
      </c>
      <c r="F22" t="s">
        <v>135</v>
      </c>
      <c r="G22" s="14">
        <v>38314</v>
      </c>
      <c r="H22">
        <v>1520</v>
      </c>
      <c r="I22">
        <v>25.21</v>
      </c>
      <c r="J22">
        <v>46359.94</v>
      </c>
    </row>
    <row r="23" spans="1:10" x14ac:dyDescent="0.25">
      <c r="A23" s="20" t="s">
        <v>501</v>
      </c>
      <c r="B23" s="20" t="s">
        <v>88</v>
      </c>
      <c r="C23" s="22">
        <v>46240</v>
      </c>
      <c r="D23" s="20" t="s">
        <v>2482</v>
      </c>
      <c r="E23" s="20" t="s">
        <v>205</v>
      </c>
      <c r="F23" s="20" t="s">
        <v>109</v>
      </c>
      <c r="G23" s="21">
        <v>296215.73</v>
      </c>
      <c r="H23" s="20">
        <v>1520</v>
      </c>
      <c r="I23" s="20">
        <v>194.88</v>
      </c>
      <c r="J23" s="20">
        <v>358421.03</v>
      </c>
    </row>
    <row r="24" spans="1:10" x14ac:dyDescent="0.25">
      <c r="A24" t="s">
        <v>106</v>
      </c>
      <c r="B24" t="s">
        <v>88</v>
      </c>
      <c r="C24" s="1">
        <v>46239</v>
      </c>
      <c r="D24" t="s">
        <v>2432</v>
      </c>
      <c r="E24" t="s">
        <v>102</v>
      </c>
      <c r="F24" t="s">
        <v>109</v>
      </c>
      <c r="G24" s="14">
        <v>67425</v>
      </c>
      <c r="H24">
        <v>1520</v>
      </c>
      <c r="I24">
        <v>44.36</v>
      </c>
      <c r="J24">
        <v>67425</v>
      </c>
    </row>
    <row r="25" spans="1:10" x14ac:dyDescent="0.25">
      <c r="A25" t="s">
        <v>364</v>
      </c>
      <c r="B25" t="s">
        <v>88</v>
      </c>
      <c r="C25" s="1">
        <v>46239</v>
      </c>
      <c r="D25" t="s">
        <v>2442</v>
      </c>
      <c r="E25" t="s">
        <v>102</v>
      </c>
      <c r="F25" t="s">
        <v>109</v>
      </c>
      <c r="G25" s="14">
        <v>18000</v>
      </c>
      <c r="H25">
        <v>1520</v>
      </c>
      <c r="I25">
        <v>11.84</v>
      </c>
      <c r="J25">
        <v>18000</v>
      </c>
    </row>
    <row r="26" spans="1:10" x14ac:dyDescent="0.25">
      <c r="A26" t="s">
        <v>426</v>
      </c>
      <c r="B26" t="s">
        <v>88</v>
      </c>
      <c r="C26" s="1">
        <v>46239</v>
      </c>
      <c r="D26" t="s">
        <v>2444</v>
      </c>
      <c r="E26" t="s">
        <v>136</v>
      </c>
      <c r="F26" t="s">
        <v>135</v>
      </c>
      <c r="G26" s="14">
        <v>2902338.9</v>
      </c>
      <c r="H26">
        <v>1520</v>
      </c>
      <c r="I26">
        <v>1909.43</v>
      </c>
      <c r="J26">
        <v>3511830.07</v>
      </c>
    </row>
    <row r="27" spans="1:10" x14ac:dyDescent="0.25">
      <c r="A27" t="s">
        <v>453</v>
      </c>
      <c r="B27" t="s">
        <v>88</v>
      </c>
      <c r="C27" s="1">
        <v>46239</v>
      </c>
      <c r="D27" t="s">
        <v>2447</v>
      </c>
      <c r="E27" t="s">
        <v>136</v>
      </c>
      <c r="F27" t="s">
        <v>135</v>
      </c>
      <c r="G27" s="14">
        <v>472963.8</v>
      </c>
      <c r="H27">
        <v>1520</v>
      </c>
      <c r="I27">
        <v>311.16000000000003</v>
      </c>
      <c r="J27">
        <v>572286.19999999995</v>
      </c>
    </row>
    <row r="28" spans="1:10" x14ac:dyDescent="0.25">
      <c r="A28" t="s">
        <v>175</v>
      </c>
      <c r="B28" t="s">
        <v>88</v>
      </c>
      <c r="C28" s="1">
        <v>46239</v>
      </c>
      <c r="D28" t="s">
        <v>2457</v>
      </c>
      <c r="E28" t="s">
        <v>177</v>
      </c>
      <c r="F28" t="s">
        <v>109</v>
      </c>
      <c r="G28" s="14">
        <v>114077.7</v>
      </c>
      <c r="H28">
        <v>1520</v>
      </c>
      <c r="I28">
        <v>75.05</v>
      </c>
      <c r="J28">
        <v>144878.68</v>
      </c>
    </row>
    <row r="29" spans="1:10" x14ac:dyDescent="0.25">
      <c r="A29" t="s">
        <v>175</v>
      </c>
      <c r="B29" t="s">
        <v>88</v>
      </c>
      <c r="C29" s="1">
        <v>46239</v>
      </c>
      <c r="D29" t="s">
        <v>2457</v>
      </c>
      <c r="E29" t="s">
        <v>180</v>
      </c>
      <c r="F29" t="s">
        <v>109</v>
      </c>
      <c r="G29" s="14">
        <v>4945.8900000000003</v>
      </c>
      <c r="H29">
        <v>1520</v>
      </c>
      <c r="I29">
        <v>3.25</v>
      </c>
      <c r="J29">
        <v>4945.8900000000003</v>
      </c>
    </row>
    <row r="30" spans="1:10" x14ac:dyDescent="0.25">
      <c r="A30" t="s">
        <v>443</v>
      </c>
      <c r="B30" t="s">
        <v>88</v>
      </c>
      <c r="C30" s="1">
        <v>46238</v>
      </c>
      <c r="D30" t="s">
        <v>2445</v>
      </c>
      <c r="E30" t="s">
        <v>90</v>
      </c>
      <c r="F30" t="s">
        <v>91</v>
      </c>
      <c r="G30" s="14">
        <v>115387.96</v>
      </c>
      <c r="H30">
        <v>1520</v>
      </c>
      <c r="I30">
        <v>75.91</v>
      </c>
      <c r="J30">
        <v>139619.43</v>
      </c>
    </row>
    <row r="31" spans="1:10" x14ac:dyDescent="0.25">
      <c r="A31" t="s">
        <v>443</v>
      </c>
      <c r="B31" t="s">
        <v>88</v>
      </c>
      <c r="C31" s="1">
        <v>46238</v>
      </c>
      <c r="D31" t="s">
        <v>2445</v>
      </c>
      <c r="E31" t="s">
        <v>92</v>
      </c>
      <c r="F31" t="s">
        <v>91</v>
      </c>
      <c r="G31" s="14">
        <v>22382.61</v>
      </c>
      <c r="H31">
        <v>1520</v>
      </c>
      <c r="I31">
        <v>14.73</v>
      </c>
      <c r="J31">
        <v>22382.61</v>
      </c>
    </row>
    <row r="32" spans="1:10" x14ac:dyDescent="0.25">
      <c r="A32" t="s">
        <v>533</v>
      </c>
      <c r="B32" t="s">
        <v>88</v>
      </c>
      <c r="C32" s="1">
        <v>46238</v>
      </c>
      <c r="D32" t="s">
        <v>2454</v>
      </c>
      <c r="E32" t="s">
        <v>90</v>
      </c>
      <c r="F32" t="s">
        <v>91</v>
      </c>
      <c r="G32" s="14">
        <v>69606.97</v>
      </c>
      <c r="H32">
        <v>1520</v>
      </c>
      <c r="I32">
        <v>45.79</v>
      </c>
      <c r="J32">
        <v>84224.44</v>
      </c>
    </row>
    <row r="33" spans="1:10" x14ac:dyDescent="0.25">
      <c r="A33" t="s">
        <v>533</v>
      </c>
      <c r="B33" t="s">
        <v>88</v>
      </c>
      <c r="C33" s="1">
        <v>46238</v>
      </c>
      <c r="D33" t="s">
        <v>2454</v>
      </c>
      <c r="E33" t="s">
        <v>92</v>
      </c>
      <c r="F33" t="s">
        <v>91</v>
      </c>
      <c r="G33" s="14">
        <v>12788.69</v>
      </c>
      <c r="H33">
        <v>1520</v>
      </c>
      <c r="I33">
        <v>8.41</v>
      </c>
      <c r="J33">
        <v>12788.69</v>
      </c>
    </row>
    <row r="34" spans="1:10" x14ac:dyDescent="0.25">
      <c r="A34" t="s">
        <v>298</v>
      </c>
      <c r="B34" t="s">
        <v>88</v>
      </c>
      <c r="C34" s="1">
        <v>46238</v>
      </c>
      <c r="D34" t="s">
        <v>2459</v>
      </c>
      <c r="E34" t="s">
        <v>205</v>
      </c>
      <c r="F34" t="s">
        <v>109</v>
      </c>
      <c r="G34" s="14">
        <v>48000</v>
      </c>
      <c r="H34">
        <v>1520</v>
      </c>
      <c r="I34">
        <v>31.58</v>
      </c>
      <c r="J34">
        <v>58080</v>
      </c>
    </row>
    <row r="35" spans="1:10" x14ac:dyDescent="0.25">
      <c r="A35" t="s">
        <v>1605</v>
      </c>
      <c r="B35" t="s">
        <v>88</v>
      </c>
      <c r="C35" s="1">
        <v>46237</v>
      </c>
      <c r="D35" t="s">
        <v>2411</v>
      </c>
      <c r="E35" t="s">
        <v>136</v>
      </c>
      <c r="F35" t="s">
        <v>2389</v>
      </c>
      <c r="G35" s="14">
        <v>234778.5</v>
      </c>
      <c r="H35">
        <v>1520</v>
      </c>
      <c r="I35">
        <v>154.46</v>
      </c>
      <c r="J35">
        <v>284080.5</v>
      </c>
    </row>
    <row r="36" spans="1:10" x14ac:dyDescent="0.25">
      <c r="A36" t="s">
        <v>383</v>
      </c>
      <c r="B36" t="s">
        <v>88</v>
      </c>
      <c r="C36" s="1">
        <v>46237</v>
      </c>
      <c r="D36" t="s">
        <v>2443</v>
      </c>
      <c r="E36" t="s">
        <v>136</v>
      </c>
      <c r="F36" t="s">
        <v>135</v>
      </c>
      <c r="G36" s="14">
        <v>160272.42000000001</v>
      </c>
      <c r="H36">
        <v>1520</v>
      </c>
      <c r="I36">
        <v>105.44</v>
      </c>
      <c r="J36">
        <v>193929.63</v>
      </c>
    </row>
    <row r="37" spans="1:10" x14ac:dyDescent="0.25">
      <c r="A37" t="s">
        <v>1706</v>
      </c>
      <c r="B37" t="s">
        <v>88</v>
      </c>
      <c r="C37" s="1">
        <v>46237</v>
      </c>
      <c r="D37" t="s">
        <v>2448</v>
      </c>
      <c r="E37" t="s">
        <v>1708</v>
      </c>
      <c r="F37" t="s">
        <v>109</v>
      </c>
      <c r="G37" s="14">
        <v>199542.55</v>
      </c>
      <c r="H37">
        <v>1520</v>
      </c>
      <c r="I37">
        <v>131.28</v>
      </c>
      <c r="J37">
        <v>241446.49</v>
      </c>
    </row>
    <row r="38" spans="1:10" x14ac:dyDescent="0.25">
      <c r="A38" t="s">
        <v>515</v>
      </c>
      <c r="B38" t="s">
        <v>88</v>
      </c>
      <c r="C38" s="1">
        <v>46237</v>
      </c>
      <c r="D38" t="s">
        <v>2453</v>
      </c>
      <c r="E38" t="s">
        <v>184</v>
      </c>
      <c r="F38" t="s">
        <v>2274</v>
      </c>
      <c r="G38" s="14">
        <v>41640</v>
      </c>
      <c r="H38">
        <v>1520</v>
      </c>
      <c r="I38">
        <v>27.39</v>
      </c>
      <c r="J38">
        <v>50384.4</v>
      </c>
    </row>
    <row r="39" spans="1:10" x14ac:dyDescent="0.25">
      <c r="A39" s="20" t="s">
        <v>149</v>
      </c>
      <c r="B39" s="20" t="s">
        <v>88</v>
      </c>
      <c r="C39" s="22">
        <v>46237</v>
      </c>
      <c r="D39" s="20" t="s">
        <v>2473</v>
      </c>
      <c r="E39" s="20" t="s">
        <v>610</v>
      </c>
      <c r="F39" s="20" t="s">
        <v>621</v>
      </c>
      <c r="G39" s="21">
        <v>58980.6</v>
      </c>
      <c r="H39" s="20">
        <v>1515</v>
      </c>
      <c r="I39" s="20">
        <v>38.93</v>
      </c>
      <c r="J39" s="20">
        <v>71362.600000000006</v>
      </c>
    </row>
    <row r="40" spans="1:10" x14ac:dyDescent="0.25">
      <c r="A40" s="20" t="s">
        <v>149</v>
      </c>
      <c r="B40" s="20" t="s">
        <v>88</v>
      </c>
      <c r="C40" s="22">
        <v>46237</v>
      </c>
      <c r="D40" s="20" t="s">
        <v>2473</v>
      </c>
      <c r="E40" s="20" t="s">
        <v>611</v>
      </c>
      <c r="F40" s="20" t="s">
        <v>621</v>
      </c>
      <c r="G40" s="21">
        <v>1238.2</v>
      </c>
      <c r="H40" s="20">
        <v>1515</v>
      </c>
      <c r="I40" s="20">
        <v>0.82</v>
      </c>
      <c r="J40" s="20">
        <v>1238.2</v>
      </c>
    </row>
    <row r="41" spans="1:10" x14ac:dyDescent="0.25">
      <c r="A41" t="s">
        <v>478</v>
      </c>
      <c r="B41" t="s">
        <v>88</v>
      </c>
      <c r="C41" s="1">
        <v>46235</v>
      </c>
      <c r="D41" t="s">
        <v>2419</v>
      </c>
      <c r="E41" t="s">
        <v>267</v>
      </c>
      <c r="F41" t="s">
        <v>109</v>
      </c>
      <c r="G41" s="14">
        <v>20880.16</v>
      </c>
      <c r="H41">
        <v>1520</v>
      </c>
      <c r="I41">
        <v>13.74</v>
      </c>
      <c r="J41">
        <v>25265</v>
      </c>
    </row>
    <row r="42" spans="1:10" x14ac:dyDescent="0.25">
      <c r="A42" t="s">
        <v>265</v>
      </c>
      <c r="B42" t="s">
        <v>88</v>
      </c>
      <c r="C42" s="1">
        <v>46235</v>
      </c>
      <c r="D42" t="s">
        <v>2441</v>
      </c>
      <c r="E42" t="s">
        <v>267</v>
      </c>
      <c r="F42" t="s">
        <v>109</v>
      </c>
      <c r="G42" s="14">
        <v>88000</v>
      </c>
      <c r="H42">
        <v>1520</v>
      </c>
      <c r="I42">
        <v>57.89</v>
      </c>
      <c r="J42">
        <v>106480</v>
      </c>
    </row>
    <row r="43" spans="1:10" x14ac:dyDescent="0.25">
      <c r="A43" t="s">
        <v>265</v>
      </c>
      <c r="B43" t="s">
        <v>88</v>
      </c>
      <c r="C43" s="1">
        <v>46235</v>
      </c>
      <c r="D43" t="s">
        <v>2441</v>
      </c>
      <c r="E43" t="s">
        <v>686</v>
      </c>
      <c r="F43" t="s">
        <v>1111</v>
      </c>
      <c r="G43" s="14">
        <v>5000</v>
      </c>
      <c r="H43">
        <v>1520</v>
      </c>
      <c r="I43">
        <v>3.29</v>
      </c>
      <c r="J43">
        <v>5000</v>
      </c>
    </row>
    <row r="44" spans="1:10" x14ac:dyDescent="0.25">
      <c r="A44" t="s">
        <v>791</v>
      </c>
      <c r="B44" t="s">
        <v>96</v>
      </c>
      <c r="C44" s="1">
        <v>46235</v>
      </c>
      <c r="D44" t="s">
        <v>2462</v>
      </c>
      <c r="E44" t="s">
        <v>98</v>
      </c>
      <c r="F44" t="s">
        <v>551</v>
      </c>
      <c r="G44" s="14">
        <v>39014.83</v>
      </c>
      <c r="H44">
        <v>1520</v>
      </c>
      <c r="I44">
        <v>25.67</v>
      </c>
      <c r="J44">
        <v>39014.83</v>
      </c>
    </row>
    <row r="45" spans="1:10" x14ac:dyDescent="0.25">
      <c r="A45" t="s">
        <v>400</v>
      </c>
      <c r="B45" t="s">
        <v>88</v>
      </c>
      <c r="C45" s="1">
        <v>46234</v>
      </c>
      <c r="D45" t="s">
        <v>2413</v>
      </c>
      <c r="E45" t="s">
        <v>184</v>
      </c>
      <c r="F45" t="s">
        <v>2274</v>
      </c>
      <c r="G45" s="14">
        <v>19326.830000000002</v>
      </c>
      <c r="H45">
        <v>1520</v>
      </c>
      <c r="I45">
        <v>12.72</v>
      </c>
      <c r="J45">
        <v>23385.46</v>
      </c>
    </row>
    <row r="46" spans="1:10" x14ac:dyDescent="0.25">
      <c r="A46" t="s">
        <v>426</v>
      </c>
      <c r="B46" t="s">
        <v>88</v>
      </c>
      <c r="C46" s="1">
        <v>46234</v>
      </c>
      <c r="D46" t="s">
        <v>2418</v>
      </c>
      <c r="E46" t="s">
        <v>136</v>
      </c>
      <c r="F46" t="s">
        <v>2274</v>
      </c>
      <c r="G46" s="14">
        <v>465006.36</v>
      </c>
      <c r="H46">
        <v>1520</v>
      </c>
      <c r="I46">
        <v>305.93</v>
      </c>
      <c r="J46">
        <v>562657.68999999994</v>
      </c>
    </row>
    <row r="47" spans="1:10" x14ac:dyDescent="0.25">
      <c r="A47" t="s">
        <v>1055</v>
      </c>
      <c r="B47" t="s">
        <v>88</v>
      </c>
      <c r="C47" s="1">
        <v>46234</v>
      </c>
      <c r="D47" t="s">
        <v>2436</v>
      </c>
      <c r="E47" t="s">
        <v>90</v>
      </c>
      <c r="F47" t="s">
        <v>91</v>
      </c>
      <c r="G47" s="14">
        <v>125845.4</v>
      </c>
      <c r="H47">
        <v>1520</v>
      </c>
      <c r="I47">
        <v>82.79</v>
      </c>
      <c r="J47">
        <v>152272.93</v>
      </c>
    </row>
    <row r="48" spans="1:10" x14ac:dyDescent="0.25">
      <c r="A48" t="s">
        <v>1055</v>
      </c>
      <c r="B48" t="s">
        <v>88</v>
      </c>
      <c r="C48" s="1">
        <v>46234</v>
      </c>
      <c r="D48" t="s">
        <v>2436</v>
      </c>
      <c r="E48" t="s">
        <v>92</v>
      </c>
      <c r="F48" t="s">
        <v>91</v>
      </c>
      <c r="G48" s="14">
        <v>20443.07</v>
      </c>
      <c r="H48">
        <v>1520</v>
      </c>
      <c r="I48">
        <v>13.45</v>
      </c>
      <c r="J48">
        <v>20443.07</v>
      </c>
    </row>
    <row r="49" spans="1:10" x14ac:dyDescent="0.25">
      <c r="A49" t="s">
        <v>426</v>
      </c>
      <c r="B49" t="s">
        <v>88</v>
      </c>
      <c r="C49" s="1">
        <v>46233</v>
      </c>
      <c r="D49" t="s">
        <v>2417</v>
      </c>
      <c r="E49" t="s">
        <v>136</v>
      </c>
      <c r="F49" t="s">
        <v>2274</v>
      </c>
      <c r="G49" s="14">
        <v>228818.7</v>
      </c>
      <c r="H49">
        <v>1520</v>
      </c>
      <c r="I49">
        <v>150.54</v>
      </c>
      <c r="J49">
        <v>276870.63</v>
      </c>
    </row>
    <row r="50" spans="1:10" x14ac:dyDescent="0.25">
      <c r="A50" t="s">
        <v>443</v>
      </c>
      <c r="B50" t="s">
        <v>88</v>
      </c>
      <c r="C50" s="1">
        <v>46233</v>
      </c>
      <c r="D50" t="s">
        <v>2446</v>
      </c>
      <c r="E50" t="s">
        <v>90</v>
      </c>
      <c r="F50" t="s">
        <v>91</v>
      </c>
      <c r="G50" s="14">
        <v>78116.34</v>
      </c>
      <c r="H50">
        <v>1520</v>
      </c>
      <c r="I50">
        <v>51.39</v>
      </c>
      <c r="J50">
        <v>94520.78</v>
      </c>
    </row>
    <row r="51" spans="1:10" x14ac:dyDescent="0.25">
      <c r="A51" t="s">
        <v>443</v>
      </c>
      <c r="B51" t="s">
        <v>88</v>
      </c>
      <c r="C51" s="1">
        <v>46233</v>
      </c>
      <c r="D51" t="s">
        <v>2446</v>
      </c>
      <c r="E51" t="s">
        <v>92</v>
      </c>
      <c r="F51" t="s">
        <v>91</v>
      </c>
      <c r="G51" s="14">
        <v>16517.189999999999</v>
      </c>
      <c r="H51">
        <v>1520</v>
      </c>
      <c r="I51">
        <v>10.87</v>
      </c>
      <c r="J51">
        <v>16517.189999999999</v>
      </c>
    </row>
    <row r="52" spans="1:10" x14ac:dyDescent="0.25">
      <c r="A52" t="s">
        <v>2331</v>
      </c>
      <c r="B52" t="s">
        <v>88</v>
      </c>
      <c r="C52" s="1">
        <v>46233</v>
      </c>
      <c r="D52" t="s">
        <v>2465</v>
      </c>
      <c r="E52" t="s">
        <v>114</v>
      </c>
      <c r="F52" t="s">
        <v>117</v>
      </c>
      <c r="G52" s="14">
        <v>5907.76</v>
      </c>
      <c r="H52">
        <v>1520</v>
      </c>
      <c r="I52">
        <v>3.89</v>
      </c>
      <c r="J52">
        <v>7148.39</v>
      </c>
    </row>
    <row r="53" spans="1:10" x14ac:dyDescent="0.25">
      <c r="A53" t="s">
        <v>400</v>
      </c>
      <c r="B53" t="s">
        <v>88</v>
      </c>
      <c r="C53" s="1">
        <v>46232</v>
      </c>
      <c r="D53" t="s">
        <v>2412</v>
      </c>
      <c r="E53" t="s">
        <v>184</v>
      </c>
      <c r="G53" s="14">
        <v>2230.9299999999998</v>
      </c>
      <c r="H53">
        <v>1520</v>
      </c>
      <c r="I53">
        <v>1.47</v>
      </c>
      <c r="J53">
        <v>2699.43</v>
      </c>
    </row>
    <row r="54" spans="1:10" x14ac:dyDescent="0.25">
      <c r="A54" t="s">
        <v>400</v>
      </c>
      <c r="B54" t="s">
        <v>88</v>
      </c>
      <c r="C54" s="1">
        <v>46232</v>
      </c>
      <c r="D54" t="s">
        <v>2412</v>
      </c>
      <c r="E54" t="s">
        <v>184</v>
      </c>
      <c r="F54" t="s">
        <v>69</v>
      </c>
      <c r="G54" s="14">
        <v>82544.479999999996</v>
      </c>
      <c r="H54">
        <v>1520</v>
      </c>
      <c r="I54">
        <v>54.31</v>
      </c>
      <c r="J54">
        <v>99878.82</v>
      </c>
    </row>
    <row r="55" spans="1:10" x14ac:dyDescent="0.25">
      <c r="A55" t="s">
        <v>400</v>
      </c>
      <c r="B55" t="s">
        <v>88</v>
      </c>
      <c r="C55" s="1">
        <v>46232</v>
      </c>
      <c r="D55" t="s">
        <v>2412</v>
      </c>
      <c r="E55" t="s">
        <v>184</v>
      </c>
      <c r="F55" t="s">
        <v>2274</v>
      </c>
      <c r="G55" s="14">
        <v>42387.71</v>
      </c>
      <c r="H55">
        <v>1520</v>
      </c>
      <c r="I55">
        <v>27.89</v>
      </c>
      <c r="J55">
        <v>51289.13</v>
      </c>
    </row>
    <row r="56" spans="1:10" x14ac:dyDescent="0.25">
      <c r="A56" t="s">
        <v>400</v>
      </c>
      <c r="B56" t="s">
        <v>88</v>
      </c>
      <c r="C56" s="1">
        <v>46232</v>
      </c>
      <c r="D56" t="s">
        <v>2412</v>
      </c>
      <c r="E56" t="s">
        <v>184</v>
      </c>
      <c r="F56" t="s">
        <v>2389</v>
      </c>
      <c r="G56" s="14">
        <v>40156.769999999997</v>
      </c>
      <c r="H56">
        <v>1520</v>
      </c>
      <c r="I56">
        <v>26.42</v>
      </c>
      <c r="J56">
        <v>48589.69</v>
      </c>
    </row>
    <row r="57" spans="1:10" x14ac:dyDescent="0.25">
      <c r="A57" t="s">
        <v>400</v>
      </c>
      <c r="B57" t="s">
        <v>88</v>
      </c>
      <c r="C57" s="1">
        <v>46232</v>
      </c>
      <c r="D57" t="s">
        <v>2412</v>
      </c>
      <c r="E57" t="s">
        <v>184</v>
      </c>
      <c r="F57" t="s">
        <v>77</v>
      </c>
      <c r="G57" s="14">
        <v>31233.05</v>
      </c>
      <c r="H57">
        <v>1520</v>
      </c>
      <c r="I57">
        <v>20.55</v>
      </c>
      <c r="J57">
        <v>37791.99</v>
      </c>
    </row>
    <row r="58" spans="1:10" x14ac:dyDescent="0.25">
      <c r="A58" t="s">
        <v>400</v>
      </c>
      <c r="B58" t="s">
        <v>88</v>
      </c>
      <c r="C58" s="1">
        <v>46232</v>
      </c>
      <c r="D58" t="s">
        <v>2412</v>
      </c>
      <c r="E58" t="s">
        <v>184</v>
      </c>
      <c r="F58" t="s">
        <v>2380</v>
      </c>
      <c r="G58" s="14">
        <v>11154.66</v>
      </c>
      <c r="H58">
        <v>1520</v>
      </c>
      <c r="I58">
        <v>7.34</v>
      </c>
      <c r="J58">
        <v>13497.14</v>
      </c>
    </row>
    <row r="59" spans="1:10" x14ac:dyDescent="0.25">
      <c r="A59" t="s">
        <v>400</v>
      </c>
      <c r="B59" t="s">
        <v>88</v>
      </c>
      <c r="C59" s="1">
        <v>46232</v>
      </c>
      <c r="D59" t="s">
        <v>2412</v>
      </c>
      <c r="E59" t="s">
        <v>184</v>
      </c>
      <c r="F59" t="s">
        <v>135</v>
      </c>
      <c r="G59" s="14">
        <v>13385.59</v>
      </c>
      <c r="H59">
        <v>1520</v>
      </c>
      <c r="I59">
        <v>8.81</v>
      </c>
      <c r="J59">
        <v>16196.56</v>
      </c>
    </row>
    <row r="60" spans="1:10" x14ac:dyDescent="0.25">
      <c r="A60" t="s">
        <v>1239</v>
      </c>
      <c r="B60" t="s">
        <v>88</v>
      </c>
      <c r="C60" s="1">
        <v>46232</v>
      </c>
      <c r="D60" t="s">
        <v>2414</v>
      </c>
      <c r="E60" t="s">
        <v>524</v>
      </c>
      <c r="F60" t="s">
        <v>1111</v>
      </c>
      <c r="G60" s="14">
        <v>140745.21</v>
      </c>
      <c r="H60">
        <v>1520</v>
      </c>
      <c r="I60">
        <v>92.6</v>
      </c>
      <c r="J60">
        <v>170301.7</v>
      </c>
    </row>
    <row r="61" spans="1:10" x14ac:dyDescent="0.25">
      <c r="A61" t="s">
        <v>1239</v>
      </c>
      <c r="B61" t="s">
        <v>88</v>
      </c>
      <c r="C61" s="1">
        <v>46232</v>
      </c>
      <c r="D61" t="s">
        <v>2415</v>
      </c>
      <c r="E61" t="s">
        <v>524</v>
      </c>
      <c r="F61" t="s">
        <v>1111</v>
      </c>
      <c r="G61" s="14">
        <v>4889.84</v>
      </c>
      <c r="H61">
        <v>1520</v>
      </c>
      <c r="I61">
        <v>3.22</v>
      </c>
      <c r="J61">
        <v>5916.71</v>
      </c>
    </row>
    <row r="62" spans="1:10" x14ac:dyDescent="0.25">
      <c r="A62" t="s">
        <v>483</v>
      </c>
      <c r="B62" t="s">
        <v>88</v>
      </c>
      <c r="C62" s="1">
        <v>46232</v>
      </c>
      <c r="D62" t="s">
        <v>2420</v>
      </c>
      <c r="E62" t="s">
        <v>136</v>
      </c>
      <c r="F62" t="s">
        <v>135</v>
      </c>
      <c r="G62" s="14">
        <v>40580</v>
      </c>
      <c r="H62">
        <v>1520</v>
      </c>
      <c r="I62">
        <v>26.7</v>
      </c>
      <c r="J62">
        <v>49101.8</v>
      </c>
    </row>
    <row r="63" spans="1:10" x14ac:dyDescent="0.25">
      <c r="A63" t="s">
        <v>226</v>
      </c>
      <c r="B63" t="s">
        <v>88</v>
      </c>
      <c r="C63" s="1">
        <v>46232</v>
      </c>
      <c r="D63" t="s">
        <v>2439</v>
      </c>
      <c r="E63" t="s">
        <v>228</v>
      </c>
      <c r="F63" t="s">
        <v>109</v>
      </c>
      <c r="G63" s="14">
        <v>571892.87</v>
      </c>
      <c r="H63">
        <v>1520</v>
      </c>
      <c r="I63">
        <v>376.25</v>
      </c>
      <c r="J63">
        <v>726303.94</v>
      </c>
    </row>
    <row r="64" spans="1:10" x14ac:dyDescent="0.25">
      <c r="A64" t="s">
        <v>226</v>
      </c>
      <c r="B64" t="s">
        <v>88</v>
      </c>
      <c r="C64" s="1">
        <v>46232</v>
      </c>
      <c r="D64" t="s">
        <v>2439</v>
      </c>
      <c r="E64" t="s">
        <v>229</v>
      </c>
      <c r="F64" t="s">
        <v>109</v>
      </c>
      <c r="G64" s="14">
        <v>226692.96</v>
      </c>
      <c r="H64">
        <v>1520</v>
      </c>
      <c r="I64">
        <v>149.13999999999999</v>
      </c>
      <c r="J64">
        <v>226692.96</v>
      </c>
    </row>
    <row r="65" spans="1:10" x14ac:dyDescent="0.25">
      <c r="A65" t="s">
        <v>226</v>
      </c>
      <c r="B65" t="s">
        <v>88</v>
      </c>
      <c r="C65" s="1">
        <v>46232</v>
      </c>
      <c r="D65" t="s">
        <v>2440</v>
      </c>
      <c r="E65" t="s">
        <v>228</v>
      </c>
      <c r="F65" t="s">
        <v>109</v>
      </c>
      <c r="G65" s="14">
        <v>580381.32999999996</v>
      </c>
      <c r="H65">
        <v>1520</v>
      </c>
      <c r="I65">
        <v>381.83</v>
      </c>
      <c r="J65">
        <v>737084.29</v>
      </c>
    </row>
    <row r="66" spans="1:10" x14ac:dyDescent="0.25">
      <c r="A66" t="s">
        <v>226</v>
      </c>
      <c r="B66" t="s">
        <v>88</v>
      </c>
      <c r="C66" s="1">
        <v>46232</v>
      </c>
      <c r="D66" t="s">
        <v>2440</v>
      </c>
      <c r="E66" t="s">
        <v>229</v>
      </c>
      <c r="F66" t="s">
        <v>109</v>
      </c>
      <c r="G66" s="14">
        <v>170591.63</v>
      </c>
      <c r="H66">
        <v>1520</v>
      </c>
      <c r="I66">
        <v>112.23</v>
      </c>
      <c r="J66">
        <v>170591.63</v>
      </c>
    </row>
    <row r="67" spans="1:10" x14ac:dyDescent="0.25">
      <c r="A67" t="s">
        <v>486</v>
      </c>
      <c r="B67" t="s">
        <v>88</v>
      </c>
      <c r="C67" s="1">
        <v>46232</v>
      </c>
      <c r="D67" t="s">
        <v>2452</v>
      </c>
      <c r="E67" t="s">
        <v>90</v>
      </c>
      <c r="F67" t="s">
        <v>91</v>
      </c>
      <c r="G67" s="14">
        <v>75696.59</v>
      </c>
      <c r="H67">
        <v>1520</v>
      </c>
      <c r="I67">
        <v>49.8</v>
      </c>
      <c r="J67">
        <v>91592.88</v>
      </c>
    </row>
    <row r="68" spans="1:10" x14ac:dyDescent="0.25">
      <c r="A68" t="s">
        <v>486</v>
      </c>
      <c r="B68" t="s">
        <v>88</v>
      </c>
      <c r="C68" s="1">
        <v>46232</v>
      </c>
      <c r="D68" t="s">
        <v>2452</v>
      </c>
      <c r="E68" t="s">
        <v>92</v>
      </c>
      <c r="F68" t="s">
        <v>91</v>
      </c>
      <c r="G68" s="14">
        <v>19429.080000000002</v>
      </c>
      <c r="H68">
        <v>1520</v>
      </c>
      <c r="I68">
        <v>12.78</v>
      </c>
      <c r="J68">
        <v>19429.080000000002</v>
      </c>
    </row>
    <row r="69" spans="1:10" x14ac:dyDescent="0.25">
      <c r="A69" t="s">
        <v>1215</v>
      </c>
      <c r="B69" t="s">
        <v>96</v>
      </c>
      <c r="C69" s="1">
        <v>46232</v>
      </c>
      <c r="D69" t="s">
        <v>2461</v>
      </c>
      <c r="E69" t="s">
        <v>102</v>
      </c>
      <c r="F69" t="s">
        <v>109</v>
      </c>
      <c r="G69" s="14">
        <v>66721.919999999998</v>
      </c>
      <c r="H69">
        <v>1520</v>
      </c>
      <c r="I69">
        <v>43.9</v>
      </c>
      <c r="J69">
        <v>66721.919999999998</v>
      </c>
    </row>
    <row r="70" spans="1:10" x14ac:dyDescent="0.25">
      <c r="A70" t="s">
        <v>2331</v>
      </c>
      <c r="B70" t="s">
        <v>88</v>
      </c>
      <c r="C70" s="1">
        <v>46232</v>
      </c>
      <c r="D70" t="s">
        <v>2464</v>
      </c>
      <c r="E70" t="s">
        <v>114</v>
      </c>
      <c r="F70" t="s">
        <v>117</v>
      </c>
      <c r="G70" s="14">
        <v>6990.86</v>
      </c>
      <c r="H70">
        <v>1520</v>
      </c>
      <c r="I70">
        <v>4.5999999999999996</v>
      </c>
      <c r="J70">
        <v>8458.94</v>
      </c>
    </row>
    <row r="71" spans="1:10" x14ac:dyDescent="0.25">
      <c r="A71" t="s">
        <v>2340</v>
      </c>
      <c r="B71" t="s">
        <v>88</v>
      </c>
      <c r="C71" s="1">
        <v>46231</v>
      </c>
      <c r="D71" t="s">
        <v>2408</v>
      </c>
      <c r="E71" t="s">
        <v>136</v>
      </c>
      <c r="F71" t="s">
        <v>65</v>
      </c>
      <c r="G71" s="14">
        <v>1803155.36</v>
      </c>
      <c r="H71">
        <v>1520</v>
      </c>
      <c r="I71">
        <v>1186.29</v>
      </c>
      <c r="J71">
        <v>2181817.9900000002</v>
      </c>
    </row>
    <row r="72" spans="1:10" x14ac:dyDescent="0.25">
      <c r="A72" t="s">
        <v>1251</v>
      </c>
      <c r="B72" t="s">
        <v>88</v>
      </c>
      <c r="C72" s="1">
        <v>46231</v>
      </c>
      <c r="D72" t="s">
        <v>2416</v>
      </c>
      <c r="E72" t="s">
        <v>136</v>
      </c>
      <c r="F72" t="s">
        <v>77</v>
      </c>
      <c r="G72" s="14">
        <v>268366.44</v>
      </c>
      <c r="H72">
        <v>1520</v>
      </c>
      <c r="I72">
        <v>176.56</v>
      </c>
      <c r="J72">
        <v>324723.39</v>
      </c>
    </row>
    <row r="73" spans="1:10" x14ac:dyDescent="0.25">
      <c r="A73" t="s">
        <v>525</v>
      </c>
      <c r="B73" t="s">
        <v>88</v>
      </c>
      <c r="C73" s="1">
        <v>46231</v>
      </c>
      <c r="D73" t="s">
        <v>2421</v>
      </c>
      <c r="E73" t="s">
        <v>108</v>
      </c>
      <c r="F73" t="s">
        <v>109</v>
      </c>
      <c r="G73" s="14">
        <v>118000</v>
      </c>
      <c r="H73">
        <v>1520</v>
      </c>
      <c r="I73">
        <v>77.63</v>
      </c>
      <c r="J73">
        <v>118000</v>
      </c>
    </row>
    <row r="74" spans="1:10" x14ac:dyDescent="0.25">
      <c r="A74" t="s">
        <v>2433</v>
      </c>
      <c r="B74" t="s">
        <v>88</v>
      </c>
      <c r="C74" s="1">
        <v>46231</v>
      </c>
      <c r="D74" t="s">
        <v>2434</v>
      </c>
      <c r="E74" t="s">
        <v>218</v>
      </c>
      <c r="F74" t="s">
        <v>239</v>
      </c>
      <c r="G74" s="14">
        <v>89090.91</v>
      </c>
      <c r="H74">
        <v>1520</v>
      </c>
      <c r="I74">
        <v>58.61</v>
      </c>
      <c r="J74">
        <v>107800</v>
      </c>
    </row>
    <row r="75" spans="1:10" x14ac:dyDescent="0.25">
      <c r="A75" t="s">
        <v>533</v>
      </c>
      <c r="B75" t="s">
        <v>88</v>
      </c>
      <c r="C75" s="1">
        <v>46229</v>
      </c>
      <c r="D75" t="s">
        <v>2455</v>
      </c>
      <c r="E75" t="s">
        <v>90</v>
      </c>
      <c r="F75" t="s">
        <v>91</v>
      </c>
      <c r="G75" s="14">
        <v>82517.66</v>
      </c>
      <c r="H75">
        <v>1520</v>
      </c>
      <c r="I75">
        <v>54.29</v>
      </c>
      <c r="J75">
        <v>99846.38</v>
      </c>
    </row>
    <row r="76" spans="1:10" x14ac:dyDescent="0.25">
      <c r="A76" t="s">
        <v>533</v>
      </c>
      <c r="B76" t="s">
        <v>88</v>
      </c>
      <c r="C76" s="1">
        <v>46229</v>
      </c>
      <c r="D76" t="s">
        <v>2455</v>
      </c>
      <c r="E76" t="s">
        <v>92</v>
      </c>
      <c r="F76" t="s">
        <v>91</v>
      </c>
      <c r="G76" s="14">
        <v>15160.72</v>
      </c>
      <c r="H76">
        <v>1520</v>
      </c>
      <c r="I76">
        <v>9.9700000000000006</v>
      </c>
      <c r="J76">
        <v>15160.72</v>
      </c>
    </row>
    <row r="77" spans="1:10" x14ac:dyDescent="0.25">
      <c r="A77" t="s">
        <v>1844</v>
      </c>
      <c r="B77" t="s">
        <v>88</v>
      </c>
      <c r="C77" s="1">
        <v>46227</v>
      </c>
      <c r="D77" t="s">
        <v>2398</v>
      </c>
      <c r="E77" t="s">
        <v>731</v>
      </c>
      <c r="F77" t="s">
        <v>1111</v>
      </c>
      <c r="G77" s="14">
        <v>280991.65000000002</v>
      </c>
      <c r="H77">
        <v>1520</v>
      </c>
      <c r="I77">
        <v>184.86</v>
      </c>
      <c r="J77">
        <v>339999.9</v>
      </c>
    </row>
    <row r="78" spans="1:10" x14ac:dyDescent="0.25">
      <c r="A78" t="s">
        <v>935</v>
      </c>
      <c r="B78" t="s">
        <v>470</v>
      </c>
      <c r="C78" s="1">
        <v>46227</v>
      </c>
      <c r="D78" t="s">
        <v>2430</v>
      </c>
      <c r="E78" t="s">
        <v>944</v>
      </c>
      <c r="F78" t="s">
        <v>945</v>
      </c>
      <c r="G78" s="14">
        <v>224400.73</v>
      </c>
      <c r="H78">
        <v>1520</v>
      </c>
      <c r="I78">
        <v>147.63</v>
      </c>
      <c r="J78">
        <v>271524.88</v>
      </c>
    </row>
    <row r="79" spans="1:10" x14ac:dyDescent="0.25">
      <c r="A79" t="s">
        <v>935</v>
      </c>
      <c r="B79" t="s">
        <v>470</v>
      </c>
      <c r="C79" s="1">
        <v>46227</v>
      </c>
      <c r="D79" t="s">
        <v>2431</v>
      </c>
      <c r="E79" t="s">
        <v>944</v>
      </c>
      <c r="F79" t="s">
        <v>945</v>
      </c>
      <c r="G79" s="14">
        <v>37171.97</v>
      </c>
      <c r="H79">
        <v>1520</v>
      </c>
      <c r="I79">
        <v>24.46</v>
      </c>
      <c r="J79">
        <v>44978.080000000002</v>
      </c>
    </row>
    <row r="80" spans="1:10" x14ac:dyDescent="0.25">
      <c r="A80" t="s">
        <v>1096</v>
      </c>
      <c r="B80" t="s">
        <v>88</v>
      </c>
      <c r="C80" s="1">
        <v>46226</v>
      </c>
      <c r="D80" t="s">
        <v>2383</v>
      </c>
      <c r="E80" t="s">
        <v>653</v>
      </c>
      <c r="F80" t="s">
        <v>69</v>
      </c>
      <c r="G80" s="14">
        <v>611570.34</v>
      </c>
      <c r="H80">
        <v>1510</v>
      </c>
      <c r="I80">
        <v>405.01</v>
      </c>
      <c r="J80">
        <v>740000.11</v>
      </c>
    </row>
    <row r="81" spans="1:10" x14ac:dyDescent="0.25">
      <c r="A81" t="s">
        <v>1362</v>
      </c>
      <c r="B81" t="s">
        <v>88</v>
      </c>
      <c r="C81" s="1">
        <v>46226</v>
      </c>
      <c r="D81" t="s">
        <v>2392</v>
      </c>
      <c r="E81" t="s">
        <v>136</v>
      </c>
      <c r="F81" t="s">
        <v>69</v>
      </c>
      <c r="G81" s="14">
        <v>469499.81</v>
      </c>
      <c r="H81">
        <v>1510</v>
      </c>
      <c r="I81">
        <v>310.93</v>
      </c>
      <c r="J81">
        <v>568094.77</v>
      </c>
    </row>
    <row r="82" spans="1:10" x14ac:dyDescent="0.25">
      <c r="A82" t="s">
        <v>1413</v>
      </c>
      <c r="B82" t="s">
        <v>96</v>
      </c>
      <c r="C82" s="1">
        <v>46226</v>
      </c>
      <c r="D82" t="s">
        <v>2393</v>
      </c>
      <c r="E82" t="s">
        <v>1412</v>
      </c>
      <c r="F82" t="s">
        <v>69</v>
      </c>
      <c r="G82" s="14">
        <v>168300</v>
      </c>
      <c r="H82">
        <v>1510</v>
      </c>
      <c r="I82">
        <v>111.46</v>
      </c>
      <c r="J82">
        <v>168300</v>
      </c>
    </row>
    <row r="83" spans="1:10" x14ac:dyDescent="0.25">
      <c r="A83" t="s">
        <v>2394</v>
      </c>
      <c r="B83" t="s">
        <v>279</v>
      </c>
      <c r="C83" s="1">
        <v>46226</v>
      </c>
      <c r="D83" t="s">
        <v>2396</v>
      </c>
      <c r="E83" t="s">
        <v>136</v>
      </c>
      <c r="F83" t="s">
        <v>69</v>
      </c>
      <c r="G83" s="14">
        <v>-25999.3</v>
      </c>
      <c r="H83">
        <v>1510</v>
      </c>
      <c r="I83">
        <v>-17.22</v>
      </c>
      <c r="J83">
        <v>-31459.15</v>
      </c>
    </row>
    <row r="84" spans="1:10" x14ac:dyDescent="0.25">
      <c r="A84" t="s">
        <v>161</v>
      </c>
      <c r="B84" t="s">
        <v>88</v>
      </c>
      <c r="C84" s="1">
        <v>46226</v>
      </c>
      <c r="D84" t="s">
        <v>2397</v>
      </c>
      <c r="E84" t="s">
        <v>136</v>
      </c>
      <c r="F84" t="s">
        <v>63</v>
      </c>
      <c r="G84" s="14">
        <v>259161</v>
      </c>
      <c r="H84">
        <v>1510</v>
      </c>
      <c r="I84">
        <v>171.63</v>
      </c>
      <c r="J84">
        <v>313581.8</v>
      </c>
    </row>
    <row r="85" spans="1:10" x14ac:dyDescent="0.25">
      <c r="A85" t="s">
        <v>1413</v>
      </c>
      <c r="B85" t="s">
        <v>96</v>
      </c>
      <c r="C85" s="1">
        <v>46226</v>
      </c>
      <c r="D85" t="s">
        <v>2466</v>
      </c>
      <c r="E85" t="s">
        <v>1412</v>
      </c>
      <c r="F85" t="s">
        <v>69</v>
      </c>
      <c r="G85" s="14">
        <v>46609.2</v>
      </c>
      <c r="H85">
        <v>1510</v>
      </c>
      <c r="I85">
        <v>30.87</v>
      </c>
      <c r="J85">
        <v>46609.2</v>
      </c>
    </row>
    <row r="86" spans="1:10" x14ac:dyDescent="0.25">
      <c r="A86" t="s">
        <v>2384</v>
      </c>
      <c r="B86" t="s">
        <v>88</v>
      </c>
      <c r="C86" s="1">
        <v>46225</v>
      </c>
      <c r="D86" t="s">
        <v>2385</v>
      </c>
      <c r="E86" t="s">
        <v>524</v>
      </c>
      <c r="F86" t="s">
        <v>69</v>
      </c>
      <c r="G86" s="14">
        <v>38520</v>
      </c>
      <c r="H86">
        <v>1505</v>
      </c>
      <c r="I86">
        <v>25.59</v>
      </c>
      <c r="J86">
        <v>46609.2</v>
      </c>
    </row>
    <row r="87" spans="1:10" x14ac:dyDescent="0.25">
      <c r="A87" t="s">
        <v>426</v>
      </c>
      <c r="B87" t="s">
        <v>88</v>
      </c>
      <c r="C87" s="1">
        <v>46225</v>
      </c>
      <c r="D87" t="s">
        <v>2391</v>
      </c>
      <c r="E87" t="s">
        <v>134</v>
      </c>
      <c r="F87" t="s">
        <v>2274</v>
      </c>
      <c r="G87" s="14">
        <v>23388.22</v>
      </c>
      <c r="H87">
        <v>1505</v>
      </c>
      <c r="I87">
        <v>15.54</v>
      </c>
      <c r="J87">
        <v>25843.98</v>
      </c>
    </row>
    <row r="88" spans="1:10" x14ac:dyDescent="0.25">
      <c r="A88" t="s">
        <v>426</v>
      </c>
      <c r="B88" t="s">
        <v>88</v>
      </c>
      <c r="C88" s="1">
        <v>46225</v>
      </c>
      <c r="D88" t="s">
        <v>2391</v>
      </c>
      <c r="E88" t="s">
        <v>134</v>
      </c>
      <c r="F88" t="s">
        <v>2389</v>
      </c>
      <c r="G88" s="14">
        <v>444376.11</v>
      </c>
      <c r="H88">
        <v>1505</v>
      </c>
      <c r="I88">
        <v>295.27</v>
      </c>
      <c r="J88">
        <v>491035.61</v>
      </c>
    </row>
    <row r="89" spans="1:10" x14ac:dyDescent="0.25">
      <c r="A89" t="s">
        <v>426</v>
      </c>
      <c r="B89" t="s">
        <v>88</v>
      </c>
      <c r="C89" s="1">
        <v>46225</v>
      </c>
      <c r="D89" t="s">
        <v>2391</v>
      </c>
      <c r="E89" t="s">
        <v>136</v>
      </c>
      <c r="F89" t="s">
        <v>2274</v>
      </c>
      <c r="G89" s="14">
        <v>263348.18</v>
      </c>
      <c r="H89">
        <v>1505</v>
      </c>
      <c r="I89">
        <v>174.98</v>
      </c>
      <c r="J89">
        <v>318651.3</v>
      </c>
    </row>
    <row r="90" spans="1:10" x14ac:dyDescent="0.25">
      <c r="A90" t="s">
        <v>426</v>
      </c>
      <c r="B90" t="s">
        <v>88</v>
      </c>
      <c r="C90" s="1">
        <v>46225</v>
      </c>
      <c r="D90" t="s">
        <v>2391</v>
      </c>
      <c r="E90" t="s">
        <v>136</v>
      </c>
      <c r="F90" t="s">
        <v>2389</v>
      </c>
      <c r="G90" s="14">
        <v>5003615.3499999996</v>
      </c>
      <c r="H90">
        <v>1505</v>
      </c>
      <c r="I90">
        <v>3324.66</v>
      </c>
      <c r="J90">
        <v>6054374.5700000003</v>
      </c>
    </row>
    <row r="91" spans="1:10" x14ac:dyDescent="0.25">
      <c r="A91" t="s">
        <v>2394</v>
      </c>
      <c r="B91" t="s">
        <v>88</v>
      </c>
      <c r="C91" s="1">
        <v>46225</v>
      </c>
      <c r="D91" t="s">
        <v>2395</v>
      </c>
      <c r="E91" t="s">
        <v>136</v>
      </c>
      <c r="F91" t="s">
        <v>69</v>
      </c>
      <c r="G91" s="14">
        <v>25999.3</v>
      </c>
      <c r="H91">
        <v>1505</v>
      </c>
      <c r="I91">
        <v>17.28</v>
      </c>
      <c r="J91">
        <v>31459.15</v>
      </c>
    </row>
    <row r="92" spans="1:10" x14ac:dyDescent="0.25">
      <c r="A92" t="s">
        <v>346</v>
      </c>
      <c r="B92" t="s">
        <v>88</v>
      </c>
      <c r="C92" s="1">
        <v>46223</v>
      </c>
      <c r="D92" t="s">
        <v>2376</v>
      </c>
      <c r="E92" t="s">
        <v>90</v>
      </c>
      <c r="F92" t="s">
        <v>91</v>
      </c>
      <c r="G92" s="14">
        <v>73464.37</v>
      </c>
      <c r="H92">
        <v>1510</v>
      </c>
      <c r="I92">
        <v>48.65</v>
      </c>
      <c r="J92">
        <v>88891.89</v>
      </c>
    </row>
    <row r="93" spans="1:10" x14ac:dyDescent="0.25">
      <c r="A93" t="s">
        <v>346</v>
      </c>
      <c r="B93" t="s">
        <v>88</v>
      </c>
      <c r="C93" s="1">
        <v>46223</v>
      </c>
      <c r="D93" t="s">
        <v>2376</v>
      </c>
      <c r="E93" t="s">
        <v>92</v>
      </c>
      <c r="F93" t="s">
        <v>91</v>
      </c>
      <c r="G93" s="14">
        <v>17138.25</v>
      </c>
      <c r="H93">
        <v>1510</v>
      </c>
      <c r="I93">
        <v>11.35</v>
      </c>
      <c r="J93">
        <v>17138.25</v>
      </c>
    </row>
    <row r="94" spans="1:10" x14ac:dyDescent="0.25">
      <c r="A94" t="s">
        <v>1413</v>
      </c>
      <c r="B94" t="s">
        <v>96</v>
      </c>
      <c r="C94" s="1">
        <v>46223</v>
      </c>
      <c r="D94" t="s">
        <v>2198</v>
      </c>
      <c r="E94" t="s">
        <v>1412</v>
      </c>
      <c r="F94" t="s">
        <v>69</v>
      </c>
      <c r="G94" s="14">
        <v>420750</v>
      </c>
      <c r="H94">
        <v>1510</v>
      </c>
      <c r="I94">
        <v>278.64</v>
      </c>
      <c r="J94">
        <v>420750</v>
      </c>
    </row>
    <row r="95" spans="1:10" x14ac:dyDescent="0.25">
      <c r="A95" t="s">
        <v>1605</v>
      </c>
      <c r="B95" t="s">
        <v>88</v>
      </c>
      <c r="C95" s="1">
        <v>46223</v>
      </c>
      <c r="D95" t="s">
        <v>2386</v>
      </c>
      <c r="E95" t="s">
        <v>134</v>
      </c>
      <c r="F95" t="s">
        <v>2274</v>
      </c>
      <c r="G95" s="14">
        <v>854697.84</v>
      </c>
      <c r="H95">
        <v>1510</v>
      </c>
      <c r="I95">
        <v>566.03</v>
      </c>
      <c r="J95">
        <v>944441.11</v>
      </c>
    </row>
    <row r="96" spans="1:10" x14ac:dyDescent="0.25">
      <c r="A96" t="s">
        <v>1605</v>
      </c>
      <c r="B96" t="s">
        <v>88</v>
      </c>
      <c r="C96" s="1">
        <v>46223</v>
      </c>
      <c r="D96" t="s">
        <v>2386</v>
      </c>
      <c r="E96" t="s">
        <v>136</v>
      </c>
      <c r="F96" t="s">
        <v>2274</v>
      </c>
      <c r="G96" s="14">
        <v>158160.78</v>
      </c>
      <c r="H96">
        <v>1510</v>
      </c>
      <c r="I96">
        <v>104.74</v>
      </c>
      <c r="J96">
        <v>191372.33</v>
      </c>
    </row>
    <row r="97" spans="1:10" x14ac:dyDescent="0.25">
      <c r="A97" t="s">
        <v>515</v>
      </c>
      <c r="B97" t="s">
        <v>88</v>
      </c>
      <c r="C97" s="1">
        <v>46223</v>
      </c>
      <c r="D97" t="s">
        <v>2405</v>
      </c>
      <c r="E97" t="s">
        <v>184</v>
      </c>
      <c r="F97" t="s">
        <v>69</v>
      </c>
      <c r="G97" s="14">
        <v>193080</v>
      </c>
      <c r="H97">
        <v>1510</v>
      </c>
      <c r="I97">
        <v>127.87</v>
      </c>
      <c r="J97">
        <v>233626.8</v>
      </c>
    </row>
    <row r="98" spans="1:10" x14ac:dyDescent="0.25">
      <c r="A98" t="s">
        <v>2269</v>
      </c>
      <c r="B98" t="s">
        <v>88</v>
      </c>
      <c r="C98" s="1">
        <v>46222</v>
      </c>
      <c r="D98" t="s">
        <v>2375</v>
      </c>
      <c r="E98" t="s">
        <v>205</v>
      </c>
      <c r="F98" t="s">
        <v>65</v>
      </c>
      <c r="G98" s="14">
        <v>290000</v>
      </c>
      <c r="H98">
        <v>1510</v>
      </c>
      <c r="I98">
        <v>192.05</v>
      </c>
    </row>
    <row r="99" spans="1:10" x14ac:dyDescent="0.25">
      <c r="A99" t="s">
        <v>2269</v>
      </c>
      <c r="B99" t="s">
        <v>88</v>
      </c>
      <c r="C99" s="1">
        <v>46222</v>
      </c>
      <c r="D99" t="s">
        <v>2375</v>
      </c>
      <c r="E99" t="s">
        <v>205</v>
      </c>
      <c r="F99" t="s">
        <v>65</v>
      </c>
      <c r="G99" s="14">
        <v>2900000</v>
      </c>
      <c r="H99">
        <v>1510</v>
      </c>
      <c r="I99">
        <v>1920.53</v>
      </c>
      <c r="J99">
        <v>3509000</v>
      </c>
    </row>
    <row r="100" spans="1:10" x14ac:dyDescent="0.25">
      <c r="A100" t="s">
        <v>2387</v>
      </c>
      <c r="B100" t="s">
        <v>88</v>
      </c>
      <c r="C100" s="1">
        <v>46221</v>
      </c>
      <c r="D100" t="s">
        <v>2388</v>
      </c>
      <c r="E100" t="s">
        <v>184</v>
      </c>
      <c r="F100" t="s">
        <v>2389</v>
      </c>
      <c r="G100" s="14">
        <v>85724</v>
      </c>
      <c r="H100">
        <v>1510</v>
      </c>
      <c r="I100">
        <v>56.77</v>
      </c>
      <c r="J100">
        <v>103726.04</v>
      </c>
    </row>
    <row r="101" spans="1:10" x14ac:dyDescent="0.25">
      <c r="A101" t="s">
        <v>2387</v>
      </c>
      <c r="B101" t="s">
        <v>88</v>
      </c>
      <c r="C101" s="1">
        <v>46221</v>
      </c>
      <c r="D101" t="s">
        <v>2388</v>
      </c>
      <c r="E101" t="s">
        <v>786</v>
      </c>
      <c r="F101" t="s">
        <v>2389</v>
      </c>
      <c r="G101" s="14">
        <v>63273.18</v>
      </c>
      <c r="H101">
        <v>1510</v>
      </c>
      <c r="I101">
        <v>41.9</v>
      </c>
      <c r="J101">
        <v>63273.18</v>
      </c>
    </row>
    <row r="102" spans="1:10" x14ac:dyDescent="0.25">
      <c r="A102" t="s">
        <v>552</v>
      </c>
      <c r="B102" t="s">
        <v>279</v>
      </c>
      <c r="C102" s="1">
        <v>46220</v>
      </c>
      <c r="D102" t="s">
        <v>2368</v>
      </c>
      <c r="E102" t="s">
        <v>136</v>
      </c>
      <c r="F102" t="s">
        <v>69</v>
      </c>
      <c r="G102" s="14">
        <v>-3274050</v>
      </c>
      <c r="H102">
        <v>1510</v>
      </c>
      <c r="I102">
        <v>-2168.25</v>
      </c>
      <c r="J102">
        <v>-3961600.5</v>
      </c>
    </row>
    <row r="103" spans="1:10" x14ac:dyDescent="0.25">
      <c r="A103" t="s">
        <v>161</v>
      </c>
      <c r="B103" t="s">
        <v>88</v>
      </c>
      <c r="C103" s="1">
        <v>46220</v>
      </c>
      <c r="D103" t="s">
        <v>2372</v>
      </c>
      <c r="E103" t="s">
        <v>136</v>
      </c>
      <c r="F103" t="s">
        <v>77</v>
      </c>
      <c r="G103" s="14">
        <v>9328.7999999999993</v>
      </c>
      <c r="H103">
        <v>1510</v>
      </c>
      <c r="I103">
        <v>6.18</v>
      </c>
      <c r="J103">
        <v>11287.25</v>
      </c>
    </row>
    <row r="104" spans="1:10" x14ac:dyDescent="0.25">
      <c r="A104" t="s">
        <v>161</v>
      </c>
      <c r="B104" t="s">
        <v>88</v>
      </c>
      <c r="C104" s="1">
        <v>46220</v>
      </c>
      <c r="D104" t="s">
        <v>2373</v>
      </c>
      <c r="E104" t="s">
        <v>136</v>
      </c>
      <c r="F104" t="s">
        <v>77</v>
      </c>
      <c r="G104" s="14">
        <v>227808.1</v>
      </c>
      <c r="H104">
        <v>1510</v>
      </c>
      <c r="I104">
        <v>150.87</v>
      </c>
      <c r="J104">
        <v>275648.09999999998</v>
      </c>
    </row>
    <row r="105" spans="1:10" x14ac:dyDescent="0.25">
      <c r="A105" t="s">
        <v>161</v>
      </c>
      <c r="B105" t="s">
        <v>88</v>
      </c>
      <c r="C105" s="1">
        <v>46220</v>
      </c>
      <c r="D105" t="s">
        <v>2374</v>
      </c>
      <c r="E105" t="s">
        <v>136</v>
      </c>
      <c r="F105" t="s">
        <v>77</v>
      </c>
      <c r="G105" s="14">
        <v>35894.949999999997</v>
      </c>
      <c r="H105">
        <v>1510</v>
      </c>
      <c r="I105">
        <v>23.77</v>
      </c>
      <c r="J105">
        <v>43429.75</v>
      </c>
    </row>
    <row r="106" spans="1:10" x14ac:dyDescent="0.25">
      <c r="A106" t="s">
        <v>372</v>
      </c>
      <c r="B106" t="s">
        <v>88</v>
      </c>
      <c r="C106" s="1">
        <v>46220</v>
      </c>
      <c r="D106" t="s">
        <v>2377</v>
      </c>
      <c r="E106" t="s">
        <v>136</v>
      </c>
      <c r="F106" t="s">
        <v>63</v>
      </c>
      <c r="G106" s="14">
        <v>79394.039999999994</v>
      </c>
      <c r="H106">
        <v>1510</v>
      </c>
      <c r="I106">
        <v>52.58</v>
      </c>
      <c r="J106">
        <v>96072.84</v>
      </c>
    </row>
    <row r="107" spans="1:10" x14ac:dyDescent="0.25">
      <c r="A107" t="s">
        <v>426</v>
      </c>
      <c r="B107" t="s">
        <v>88</v>
      </c>
      <c r="C107" s="1">
        <v>46220</v>
      </c>
      <c r="D107" t="s">
        <v>2378</v>
      </c>
      <c r="E107" t="s">
        <v>136</v>
      </c>
      <c r="F107" t="s">
        <v>135</v>
      </c>
      <c r="G107" s="14">
        <v>1427232.13</v>
      </c>
      <c r="H107">
        <v>1510</v>
      </c>
      <c r="I107">
        <v>945.19</v>
      </c>
      <c r="J107">
        <v>1726950.88</v>
      </c>
    </row>
    <row r="108" spans="1:10" x14ac:dyDescent="0.25">
      <c r="A108" t="s">
        <v>400</v>
      </c>
      <c r="B108" t="s">
        <v>88</v>
      </c>
      <c r="C108" s="1">
        <v>46220</v>
      </c>
      <c r="D108" t="s">
        <v>2390</v>
      </c>
      <c r="E108" t="s">
        <v>184</v>
      </c>
      <c r="F108" t="s">
        <v>135</v>
      </c>
      <c r="G108" s="14">
        <v>12314.38</v>
      </c>
      <c r="H108">
        <v>1510</v>
      </c>
      <c r="I108">
        <v>8.16</v>
      </c>
      <c r="J108">
        <v>14900.4</v>
      </c>
    </row>
    <row r="109" spans="1:10" x14ac:dyDescent="0.25">
      <c r="A109" t="s">
        <v>400</v>
      </c>
      <c r="B109" t="s">
        <v>88</v>
      </c>
      <c r="C109" s="1">
        <v>46220</v>
      </c>
      <c r="D109" t="s">
        <v>2390</v>
      </c>
      <c r="E109" t="s">
        <v>184</v>
      </c>
      <c r="F109" t="s">
        <v>64</v>
      </c>
      <c r="G109" s="14">
        <v>100054.34</v>
      </c>
      <c r="H109">
        <v>1510</v>
      </c>
      <c r="I109">
        <v>66.260000000000005</v>
      </c>
      <c r="J109">
        <v>121065.75</v>
      </c>
    </row>
    <row r="110" spans="1:10" x14ac:dyDescent="0.25">
      <c r="A110" t="s">
        <v>400</v>
      </c>
      <c r="B110" t="s">
        <v>88</v>
      </c>
      <c r="C110" s="1">
        <v>46220</v>
      </c>
      <c r="D110" t="s">
        <v>2390</v>
      </c>
      <c r="E110" t="s">
        <v>184</v>
      </c>
      <c r="F110" t="s">
        <v>65</v>
      </c>
      <c r="G110" s="14">
        <v>41561.03</v>
      </c>
      <c r="H110">
        <v>1510</v>
      </c>
      <c r="I110">
        <v>27.52</v>
      </c>
      <c r="J110">
        <v>50288.85</v>
      </c>
    </row>
    <row r="111" spans="1:10" x14ac:dyDescent="0.25">
      <c r="A111" t="s">
        <v>426</v>
      </c>
      <c r="B111" t="s">
        <v>88</v>
      </c>
      <c r="C111" s="1">
        <v>46219</v>
      </c>
      <c r="D111" t="s">
        <v>2313</v>
      </c>
      <c r="E111" t="s">
        <v>136</v>
      </c>
      <c r="F111" t="s">
        <v>69</v>
      </c>
      <c r="G111" s="14">
        <v>1791203.04</v>
      </c>
      <c r="H111">
        <v>1510</v>
      </c>
      <c r="I111">
        <v>1186.23</v>
      </c>
      <c r="J111">
        <v>2167355.6800000002</v>
      </c>
    </row>
    <row r="112" spans="1:10" x14ac:dyDescent="0.25">
      <c r="A112" t="s">
        <v>1362</v>
      </c>
      <c r="B112" t="s">
        <v>88</v>
      </c>
      <c r="C112" s="1">
        <v>46219</v>
      </c>
      <c r="D112" t="s">
        <v>2326</v>
      </c>
      <c r="E112" t="s">
        <v>136</v>
      </c>
      <c r="F112" t="s">
        <v>69</v>
      </c>
      <c r="G112" s="14">
        <v>1659450</v>
      </c>
      <c r="H112">
        <v>1510</v>
      </c>
      <c r="I112">
        <v>1098.97</v>
      </c>
      <c r="J112">
        <v>2007934.5</v>
      </c>
    </row>
    <row r="113" spans="1:10" x14ac:dyDescent="0.25">
      <c r="A113" t="s">
        <v>552</v>
      </c>
      <c r="B113" t="s">
        <v>88</v>
      </c>
      <c r="C113" s="1">
        <v>46219</v>
      </c>
      <c r="D113" t="s">
        <v>2364</v>
      </c>
      <c r="E113" t="s">
        <v>136</v>
      </c>
      <c r="F113" t="s">
        <v>69</v>
      </c>
      <c r="G113" s="14">
        <v>3274050</v>
      </c>
      <c r="H113">
        <v>1510</v>
      </c>
      <c r="I113">
        <v>2168.25</v>
      </c>
      <c r="J113">
        <v>3961600.5</v>
      </c>
    </row>
    <row r="114" spans="1:10" x14ac:dyDescent="0.25">
      <c r="A114" t="s">
        <v>552</v>
      </c>
      <c r="B114" t="s">
        <v>88</v>
      </c>
      <c r="C114" s="1">
        <v>46219</v>
      </c>
      <c r="D114" t="s">
        <v>2379</v>
      </c>
      <c r="E114" t="s">
        <v>136</v>
      </c>
      <c r="F114" t="s">
        <v>2380</v>
      </c>
      <c r="G114" s="14">
        <v>149492</v>
      </c>
      <c r="H114">
        <v>1510</v>
      </c>
      <c r="I114">
        <v>99</v>
      </c>
      <c r="J114">
        <v>180885.32</v>
      </c>
    </row>
    <row r="115" spans="1:10" x14ac:dyDescent="0.25">
      <c r="A115" t="s">
        <v>1251</v>
      </c>
      <c r="B115" t="s">
        <v>279</v>
      </c>
      <c r="C115" s="1">
        <v>46218</v>
      </c>
      <c r="D115" t="s">
        <v>2308</v>
      </c>
      <c r="E115" t="s">
        <v>136</v>
      </c>
      <c r="F115" t="s">
        <v>64</v>
      </c>
      <c r="G115" s="14">
        <v>-1158900.6000000001</v>
      </c>
      <c r="H115">
        <v>1510</v>
      </c>
      <c r="I115">
        <v>-767.48</v>
      </c>
      <c r="J115">
        <v>-1402272.3</v>
      </c>
    </row>
    <row r="116" spans="1:10" x14ac:dyDescent="0.25">
      <c r="A116" t="s">
        <v>2331</v>
      </c>
      <c r="B116" t="s">
        <v>88</v>
      </c>
      <c r="C116" s="1">
        <v>46218</v>
      </c>
      <c r="D116" t="s">
        <v>2332</v>
      </c>
      <c r="E116" t="s">
        <v>114</v>
      </c>
      <c r="F116" t="s">
        <v>117</v>
      </c>
      <c r="G116" s="14">
        <v>10338.59</v>
      </c>
      <c r="H116">
        <v>1510</v>
      </c>
      <c r="I116">
        <v>6.85</v>
      </c>
      <c r="J116">
        <v>12509.7</v>
      </c>
    </row>
    <row r="117" spans="1:10" x14ac:dyDescent="0.25">
      <c r="A117" t="s">
        <v>552</v>
      </c>
      <c r="B117" t="s">
        <v>88</v>
      </c>
      <c r="C117" s="1">
        <v>46218</v>
      </c>
      <c r="D117" t="s">
        <v>2362</v>
      </c>
      <c r="E117" t="s">
        <v>136</v>
      </c>
      <c r="F117" t="s">
        <v>63</v>
      </c>
      <c r="G117" s="14">
        <v>1569823.25</v>
      </c>
      <c r="H117">
        <v>1510</v>
      </c>
      <c r="I117">
        <v>1039.6199999999999</v>
      </c>
      <c r="J117">
        <v>1899486.13</v>
      </c>
    </row>
    <row r="118" spans="1:10" x14ac:dyDescent="0.25">
      <c r="A118" t="s">
        <v>2331</v>
      </c>
      <c r="B118" t="s">
        <v>88</v>
      </c>
      <c r="C118" s="1">
        <v>46218</v>
      </c>
      <c r="D118" t="s">
        <v>2332</v>
      </c>
      <c r="E118" t="s">
        <v>114</v>
      </c>
      <c r="F118" t="s">
        <v>117</v>
      </c>
      <c r="G118" s="14">
        <v>10338.61</v>
      </c>
      <c r="H118">
        <v>1510</v>
      </c>
      <c r="I118">
        <v>6.85</v>
      </c>
      <c r="J118">
        <v>12509.7</v>
      </c>
    </row>
    <row r="119" spans="1:10" x14ac:dyDescent="0.25">
      <c r="A119" t="s">
        <v>2471</v>
      </c>
      <c r="B119" t="s">
        <v>88</v>
      </c>
      <c r="C119" s="1">
        <v>46218</v>
      </c>
      <c r="D119" t="s">
        <v>2472</v>
      </c>
      <c r="E119" t="s">
        <v>329</v>
      </c>
      <c r="F119" t="s">
        <v>2389</v>
      </c>
      <c r="G119" s="14">
        <v>540292.80000000005</v>
      </c>
      <c r="H119">
        <v>1510</v>
      </c>
      <c r="I119">
        <v>357.81</v>
      </c>
      <c r="J119">
        <v>540292.80000000005</v>
      </c>
    </row>
    <row r="120" spans="1:10" x14ac:dyDescent="0.25">
      <c r="A120" t="s">
        <v>246</v>
      </c>
      <c r="B120" t="s">
        <v>88</v>
      </c>
      <c r="C120" s="1">
        <v>46217</v>
      </c>
      <c r="D120" t="s">
        <v>2259</v>
      </c>
      <c r="E120" t="s">
        <v>114</v>
      </c>
      <c r="F120" t="s">
        <v>117</v>
      </c>
      <c r="G120" s="14">
        <v>2479.34</v>
      </c>
      <c r="H120">
        <v>1510</v>
      </c>
      <c r="I120">
        <v>1.64</v>
      </c>
      <c r="J120">
        <v>3000</v>
      </c>
    </row>
    <row r="121" spans="1:10" x14ac:dyDescent="0.25">
      <c r="A121" t="s">
        <v>372</v>
      </c>
      <c r="B121" t="s">
        <v>88</v>
      </c>
      <c r="C121" s="1">
        <v>46217</v>
      </c>
      <c r="D121" t="s">
        <v>2293</v>
      </c>
      <c r="E121" t="s">
        <v>136</v>
      </c>
      <c r="F121" t="s">
        <v>77</v>
      </c>
      <c r="G121" s="14">
        <v>463791.9</v>
      </c>
      <c r="H121">
        <v>1510</v>
      </c>
      <c r="I121">
        <v>307.14999999999998</v>
      </c>
      <c r="J121">
        <v>561188.93999999994</v>
      </c>
    </row>
    <row r="122" spans="1:10" x14ac:dyDescent="0.25">
      <c r="A122" t="s">
        <v>372</v>
      </c>
      <c r="B122" t="s">
        <v>279</v>
      </c>
      <c r="C122" s="1">
        <v>46217</v>
      </c>
      <c r="D122" t="s">
        <v>2294</v>
      </c>
      <c r="E122" t="s">
        <v>136</v>
      </c>
      <c r="F122" t="s">
        <v>77</v>
      </c>
      <c r="G122" s="14">
        <v>-466906.48</v>
      </c>
      <c r="H122">
        <v>1510</v>
      </c>
      <c r="I122">
        <v>-309.20999999999998</v>
      </c>
      <c r="J122">
        <v>-564960.72</v>
      </c>
    </row>
    <row r="123" spans="1:10" x14ac:dyDescent="0.25">
      <c r="A123" t="s">
        <v>504</v>
      </c>
      <c r="B123" t="s">
        <v>88</v>
      </c>
      <c r="C123" s="1">
        <v>46217</v>
      </c>
      <c r="D123" t="s">
        <v>2404</v>
      </c>
      <c r="E123" t="s">
        <v>506</v>
      </c>
      <c r="F123" t="s">
        <v>109</v>
      </c>
      <c r="G123" s="14">
        <v>307860.13</v>
      </c>
      <c r="H123">
        <v>1510</v>
      </c>
      <c r="I123">
        <v>203.88</v>
      </c>
      <c r="J123">
        <v>390982.37</v>
      </c>
    </row>
    <row r="124" spans="1:10" x14ac:dyDescent="0.25">
      <c r="A124" t="s">
        <v>161</v>
      </c>
      <c r="B124" t="s">
        <v>88</v>
      </c>
      <c r="C124" s="1">
        <v>46216</v>
      </c>
      <c r="D124" t="s">
        <v>2243</v>
      </c>
      <c r="E124" t="s">
        <v>136</v>
      </c>
      <c r="F124" t="s">
        <v>135</v>
      </c>
      <c r="G124" s="14">
        <v>389866.9</v>
      </c>
      <c r="H124">
        <v>1510</v>
      </c>
      <c r="I124">
        <v>258.19</v>
      </c>
      <c r="J124">
        <v>471739.1</v>
      </c>
    </row>
    <row r="125" spans="1:10" x14ac:dyDescent="0.25">
      <c r="A125" t="s">
        <v>1605</v>
      </c>
      <c r="B125" t="s">
        <v>88</v>
      </c>
      <c r="C125" s="1">
        <v>46216</v>
      </c>
      <c r="D125" t="s">
        <v>2273</v>
      </c>
      <c r="E125" t="s">
        <v>134</v>
      </c>
      <c r="F125" t="s">
        <v>2274</v>
      </c>
      <c r="G125" s="14">
        <v>23704.58</v>
      </c>
      <c r="H125">
        <v>1510</v>
      </c>
      <c r="I125">
        <v>15.7</v>
      </c>
      <c r="J125">
        <v>26193.56</v>
      </c>
    </row>
    <row r="126" spans="1:10" x14ac:dyDescent="0.25">
      <c r="A126" t="s">
        <v>1605</v>
      </c>
      <c r="B126" t="s">
        <v>88</v>
      </c>
      <c r="C126" s="1">
        <v>46216</v>
      </c>
      <c r="D126" t="s">
        <v>2273</v>
      </c>
      <c r="E126" t="s">
        <v>134</v>
      </c>
      <c r="F126" t="s">
        <v>2274</v>
      </c>
      <c r="G126" s="14">
        <v>450387.1</v>
      </c>
      <c r="H126">
        <v>1510</v>
      </c>
      <c r="I126">
        <v>298.27</v>
      </c>
      <c r="J126">
        <v>497677.75</v>
      </c>
    </row>
    <row r="127" spans="1:10" x14ac:dyDescent="0.25">
      <c r="A127" t="s">
        <v>1605</v>
      </c>
      <c r="B127" t="s">
        <v>88</v>
      </c>
      <c r="C127" s="1">
        <v>46216</v>
      </c>
      <c r="D127" t="s">
        <v>2273</v>
      </c>
      <c r="E127" t="s">
        <v>136</v>
      </c>
      <c r="F127" t="s">
        <v>2274</v>
      </c>
      <c r="G127" s="14">
        <v>116013.41</v>
      </c>
      <c r="H127">
        <v>1510</v>
      </c>
      <c r="I127">
        <v>76.83</v>
      </c>
      <c r="J127">
        <v>140376.13</v>
      </c>
    </row>
    <row r="128" spans="1:10" x14ac:dyDescent="0.25">
      <c r="A128" t="s">
        <v>1605</v>
      </c>
      <c r="B128" t="s">
        <v>88</v>
      </c>
      <c r="C128" s="1">
        <v>46216</v>
      </c>
      <c r="D128" t="s">
        <v>2273</v>
      </c>
      <c r="E128" t="s">
        <v>136</v>
      </c>
      <c r="F128" t="s">
        <v>2274</v>
      </c>
      <c r="G128" s="14">
        <v>2204254.75</v>
      </c>
      <c r="H128">
        <v>1510</v>
      </c>
      <c r="I128">
        <v>1459.77</v>
      </c>
      <c r="J128">
        <v>2667146.48</v>
      </c>
    </row>
    <row r="129" spans="1:10" x14ac:dyDescent="0.25">
      <c r="A129" t="s">
        <v>1413</v>
      </c>
      <c r="B129" t="s">
        <v>96</v>
      </c>
      <c r="C129" s="1">
        <v>46216</v>
      </c>
      <c r="D129" t="s">
        <v>2342</v>
      </c>
      <c r="E129" t="s">
        <v>1412</v>
      </c>
      <c r="F129" t="s">
        <v>69</v>
      </c>
      <c r="G129" s="14">
        <v>252450</v>
      </c>
      <c r="H129">
        <v>1510</v>
      </c>
      <c r="I129">
        <v>167.19</v>
      </c>
      <c r="J129">
        <v>252450</v>
      </c>
    </row>
    <row r="130" spans="1:10" x14ac:dyDescent="0.25">
      <c r="A130" t="s">
        <v>2467</v>
      </c>
      <c r="B130" t="s">
        <v>88</v>
      </c>
      <c r="C130" s="1">
        <v>46216</v>
      </c>
      <c r="D130" t="s">
        <v>2468</v>
      </c>
      <c r="E130" t="s">
        <v>329</v>
      </c>
      <c r="F130" t="s">
        <v>2389</v>
      </c>
      <c r="G130" s="14">
        <v>300308.15999999997</v>
      </c>
      <c r="H130">
        <v>1510</v>
      </c>
      <c r="I130">
        <v>198.88</v>
      </c>
      <c r="J130">
        <v>300308.15999999997</v>
      </c>
    </row>
    <row r="131" spans="1:10" x14ac:dyDescent="0.25">
      <c r="A131" t="s">
        <v>2437</v>
      </c>
      <c r="B131" t="s">
        <v>88</v>
      </c>
      <c r="C131" s="1">
        <v>46214</v>
      </c>
      <c r="D131" t="s">
        <v>2438</v>
      </c>
      <c r="E131" t="s">
        <v>90</v>
      </c>
      <c r="F131" t="s">
        <v>91</v>
      </c>
      <c r="G131" s="14">
        <v>35373.050000000003</v>
      </c>
      <c r="H131">
        <v>1510</v>
      </c>
      <c r="I131">
        <v>23.43</v>
      </c>
      <c r="J131">
        <v>42801.4</v>
      </c>
    </row>
    <row r="132" spans="1:10" x14ac:dyDescent="0.25">
      <c r="A132" t="s">
        <v>2437</v>
      </c>
      <c r="B132" t="s">
        <v>88</v>
      </c>
      <c r="C132" s="1">
        <v>46214</v>
      </c>
      <c r="D132" t="s">
        <v>2438</v>
      </c>
      <c r="E132" t="s">
        <v>92</v>
      </c>
      <c r="F132" t="s">
        <v>91</v>
      </c>
      <c r="G132" s="14">
        <v>7198.6</v>
      </c>
      <c r="H132">
        <v>1510</v>
      </c>
      <c r="I132">
        <v>4.7699999999999996</v>
      </c>
      <c r="J132">
        <v>7198.6</v>
      </c>
    </row>
    <row r="133" spans="1:10" x14ac:dyDescent="0.25">
      <c r="A133" t="s">
        <v>561</v>
      </c>
      <c r="B133" t="s">
        <v>88</v>
      </c>
      <c r="C133" s="1">
        <v>46214</v>
      </c>
      <c r="D133" t="s">
        <v>2456</v>
      </c>
      <c r="E133" t="s">
        <v>90</v>
      </c>
      <c r="F133" t="s">
        <v>91</v>
      </c>
      <c r="G133" s="14">
        <v>49314.99</v>
      </c>
      <c r="H133">
        <v>1510</v>
      </c>
      <c r="I133">
        <v>32.659999999999997</v>
      </c>
      <c r="J133">
        <v>59671.19</v>
      </c>
    </row>
    <row r="134" spans="1:10" x14ac:dyDescent="0.25">
      <c r="A134" t="s">
        <v>561</v>
      </c>
      <c r="B134" t="s">
        <v>88</v>
      </c>
      <c r="C134" s="1">
        <v>46214</v>
      </c>
      <c r="D134" t="s">
        <v>2456</v>
      </c>
      <c r="E134" t="s">
        <v>92</v>
      </c>
      <c r="F134" t="s">
        <v>91</v>
      </c>
      <c r="G134" s="14">
        <v>10330.84</v>
      </c>
      <c r="H134">
        <v>1510</v>
      </c>
      <c r="I134">
        <v>6.84</v>
      </c>
      <c r="J134">
        <v>10330.84</v>
      </c>
    </row>
    <row r="135" spans="1:10" x14ac:dyDescent="0.25">
      <c r="A135" t="s">
        <v>132</v>
      </c>
      <c r="B135" t="s">
        <v>88</v>
      </c>
      <c r="C135" s="1">
        <v>46213</v>
      </c>
      <c r="D135" t="s">
        <v>2238</v>
      </c>
      <c r="E135" t="s">
        <v>136</v>
      </c>
      <c r="F135" t="s">
        <v>135</v>
      </c>
      <c r="G135" s="14">
        <v>40730.78</v>
      </c>
      <c r="H135">
        <v>1510</v>
      </c>
      <c r="I135">
        <v>26.97</v>
      </c>
      <c r="J135">
        <v>49284.24</v>
      </c>
    </row>
    <row r="136" spans="1:10" x14ac:dyDescent="0.25">
      <c r="A136" t="s">
        <v>132</v>
      </c>
      <c r="B136" t="s">
        <v>88</v>
      </c>
      <c r="C136" s="1">
        <v>46213</v>
      </c>
      <c r="D136" t="s">
        <v>2239</v>
      </c>
      <c r="E136" t="s">
        <v>136</v>
      </c>
      <c r="F136" t="s">
        <v>135</v>
      </c>
      <c r="G136" s="14">
        <v>53195.26</v>
      </c>
      <c r="H136">
        <v>1510</v>
      </c>
      <c r="I136">
        <v>35.229999999999997</v>
      </c>
      <c r="J136">
        <v>64366.26</v>
      </c>
    </row>
    <row r="137" spans="1:10" x14ac:dyDescent="0.25">
      <c r="A137" t="s">
        <v>1096</v>
      </c>
      <c r="B137" t="s">
        <v>88</v>
      </c>
      <c r="C137" s="1">
        <v>46213</v>
      </c>
      <c r="D137" t="s">
        <v>2265</v>
      </c>
      <c r="E137" t="s">
        <v>653</v>
      </c>
      <c r="F137" t="s">
        <v>69</v>
      </c>
      <c r="G137" s="14">
        <v>231405.1</v>
      </c>
      <c r="H137">
        <v>1510</v>
      </c>
      <c r="I137">
        <v>153.25</v>
      </c>
      <c r="J137">
        <v>280000.17</v>
      </c>
    </row>
    <row r="138" spans="1:10" x14ac:dyDescent="0.25">
      <c r="A138" t="s">
        <v>372</v>
      </c>
      <c r="B138" t="s">
        <v>199</v>
      </c>
      <c r="C138" s="1">
        <v>46213</v>
      </c>
      <c r="D138" t="s">
        <v>2295</v>
      </c>
      <c r="E138" t="s">
        <v>136</v>
      </c>
      <c r="F138" t="s">
        <v>11</v>
      </c>
      <c r="G138" s="14">
        <v>-42507.08</v>
      </c>
      <c r="H138">
        <v>1510</v>
      </c>
      <c r="I138">
        <v>-28.15</v>
      </c>
      <c r="J138">
        <v>-51429.24</v>
      </c>
    </row>
    <row r="139" spans="1:10" x14ac:dyDescent="0.25">
      <c r="A139" t="s">
        <v>319</v>
      </c>
      <c r="B139" t="s">
        <v>88</v>
      </c>
      <c r="C139" s="1">
        <v>46211</v>
      </c>
      <c r="D139" t="s">
        <v>2277</v>
      </c>
      <c r="E139" t="s">
        <v>274</v>
      </c>
      <c r="F139" t="s">
        <v>65</v>
      </c>
      <c r="G139" s="14">
        <v>63983.47</v>
      </c>
      <c r="H139">
        <v>1510</v>
      </c>
      <c r="I139">
        <v>42.37</v>
      </c>
      <c r="J139">
        <v>77420</v>
      </c>
    </row>
    <row r="140" spans="1:10" x14ac:dyDescent="0.25">
      <c r="A140" t="s">
        <v>372</v>
      </c>
      <c r="B140" t="s">
        <v>88</v>
      </c>
      <c r="C140" s="1">
        <v>46211</v>
      </c>
      <c r="D140" t="s">
        <v>2292</v>
      </c>
      <c r="E140" t="s">
        <v>136</v>
      </c>
      <c r="F140" t="s">
        <v>30</v>
      </c>
      <c r="G140" s="14">
        <v>509413.56</v>
      </c>
      <c r="H140">
        <v>1510</v>
      </c>
      <c r="I140">
        <v>337.36</v>
      </c>
      <c r="J140">
        <v>616389.96</v>
      </c>
    </row>
    <row r="141" spans="1:10" x14ac:dyDescent="0.25">
      <c r="A141" t="s">
        <v>416</v>
      </c>
      <c r="B141" t="s">
        <v>88</v>
      </c>
      <c r="C141" s="1">
        <v>46211</v>
      </c>
      <c r="D141" t="s">
        <v>2307</v>
      </c>
      <c r="E141" t="s">
        <v>205</v>
      </c>
      <c r="F141" t="s">
        <v>109</v>
      </c>
      <c r="G141" s="14">
        <v>16116</v>
      </c>
      <c r="H141">
        <v>1510</v>
      </c>
      <c r="I141">
        <v>10.67</v>
      </c>
      <c r="J141">
        <v>19500.36</v>
      </c>
    </row>
    <row r="142" spans="1:10" x14ac:dyDescent="0.25">
      <c r="A142" t="s">
        <v>1263</v>
      </c>
      <c r="B142" t="s">
        <v>88</v>
      </c>
      <c r="C142" s="1">
        <v>46211</v>
      </c>
      <c r="D142" t="s">
        <v>2309</v>
      </c>
      <c r="E142" t="s">
        <v>102</v>
      </c>
      <c r="F142" t="s">
        <v>65</v>
      </c>
      <c r="G142" s="14">
        <v>183160</v>
      </c>
      <c r="H142">
        <v>1510</v>
      </c>
      <c r="I142">
        <v>121.3</v>
      </c>
      <c r="J142">
        <v>183160</v>
      </c>
    </row>
    <row r="143" spans="1:10" x14ac:dyDescent="0.25">
      <c r="A143" t="s">
        <v>515</v>
      </c>
      <c r="B143" t="s">
        <v>88</v>
      </c>
      <c r="C143" s="1">
        <v>46211</v>
      </c>
      <c r="D143" t="s">
        <v>2351</v>
      </c>
      <c r="E143" t="s">
        <v>184</v>
      </c>
      <c r="F143" t="s">
        <v>135</v>
      </c>
      <c r="G143" s="14">
        <v>54471</v>
      </c>
      <c r="H143">
        <v>1510</v>
      </c>
      <c r="I143">
        <v>36.07</v>
      </c>
      <c r="J143">
        <v>65909.91</v>
      </c>
    </row>
    <row r="144" spans="1:10" x14ac:dyDescent="0.25">
      <c r="A144" t="s">
        <v>955</v>
      </c>
      <c r="B144" t="s">
        <v>88</v>
      </c>
      <c r="C144" s="1">
        <v>46210</v>
      </c>
      <c r="D144" t="s">
        <v>2234</v>
      </c>
      <c r="E144" t="s">
        <v>136</v>
      </c>
      <c r="F144" t="s">
        <v>77</v>
      </c>
      <c r="G144" s="14">
        <v>7778339.3300000001</v>
      </c>
      <c r="H144">
        <v>1515</v>
      </c>
      <c r="I144">
        <v>5134.22</v>
      </c>
      <c r="J144">
        <v>9411790.5899999999</v>
      </c>
    </row>
    <row r="145" spans="1:10" x14ac:dyDescent="0.25">
      <c r="A145" t="s">
        <v>2281</v>
      </c>
      <c r="B145" t="s">
        <v>88</v>
      </c>
      <c r="C145" s="1">
        <v>46210</v>
      </c>
      <c r="D145" t="s">
        <v>2283</v>
      </c>
      <c r="E145" t="s">
        <v>90</v>
      </c>
      <c r="F145" t="s">
        <v>91</v>
      </c>
      <c r="G145" s="14">
        <v>79412.87</v>
      </c>
      <c r="H145">
        <v>1515</v>
      </c>
      <c r="I145">
        <v>52.42</v>
      </c>
      <c r="J145">
        <v>96089.58</v>
      </c>
    </row>
    <row r="146" spans="1:10" x14ac:dyDescent="0.25">
      <c r="A146" t="s">
        <v>2281</v>
      </c>
      <c r="B146" t="s">
        <v>88</v>
      </c>
      <c r="C146" s="1">
        <v>46210</v>
      </c>
      <c r="D146" t="s">
        <v>2283</v>
      </c>
      <c r="E146" t="s">
        <v>92</v>
      </c>
      <c r="F146" t="s">
        <v>91</v>
      </c>
      <c r="G146" s="14">
        <v>10919.41</v>
      </c>
      <c r="H146">
        <v>1515</v>
      </c>
      <c r="I146">
        <v>7.21</v>
      </c>
      <c r="J146">
        <v>10919.41</v>
      </c>
    </row>
    <row r="147" spans="1:10" x14ac:dyDescent="0.25">
      <c r="A147" t="s">
        <v>364</v>
      </c>
      <c r="B147" t="s">
        <v>88</v>
      </c>
      <c r="C147" s="1">
        <v>46210</v>
      </c>
      <c r="D147" t="s">
        <v>2288</v>
      </c>
      <c r="E147" t="s">
        <v>102</v>
      </c>
      <c r="F147" t="s">
        <v>109</v>
      </c>
      <c r="G147" s="14">
        <v>18000</v>
      </c>
      <c r="H147">
        <v>1515</v>
      </c>
      <c r="I147">
        <v>11.88</v>
      </c>
      <c r="J147">
        <v>18000</v>
      </c>
    </row>
    <row r="148" spans="1:10" x14ac:dyDescent="0.25">
      <c r="A148" t="s">
        <v>426</v>
      </c>
      <c r="B148" t="s">
        <v>88</v>
      </c>
      <c r="C148" s="1">
        <v>46210</v>
      </c>
      <c r="D148" t="s">
        <v>2312</v>
      </c>
      <c r="E148" t="s">
        <v>136</v>
      </c>
      <c r="F148" t="s">
        <v>135</v>
      </c>
      <c r="G148" s="14">
        <v>812959.98</v>
      </c>
      <c r="H148">
        <v>1515</v>
      </c>
      <c r="I148">
        <v>536.61</v>
      </c>
      <c r="J148">
        <v>983681.57</v>
      </c>
    </row>
    <row r="149" spans="1:10" x14ac:dyDescent="0.25">
      <c r="A149" t="s">
        <v>443</v>
      </c>
      <c r="B149" t="s">
        <v>88</v>
      </c>
      <c r="C149" s="1">
        <v>46210</v>
      </c>
      <c r="D149" t="s">
        <v>2318</v>
      </c>
      <c r="E149" t="s">
        <v>90</v>
      </c>
      <c r="F149" t="s">
        <v>91</v>
      </c>
      <c r="G149" s="14">
        <v>63385.56</v>
      </c>
      <c r="H149">
        <v>1515</v>
      </c>
      <c r="I149">
        <v>41.84</v>
      </c>
      <c r="J149">
        <v>76696.53</v>
      </c>
    </row>
    <row r="150" spans="1:10" x14ac:dyDescent="0.25">
      <c r="A150" t="s">
        <v>443</v>
      </c>
      <c r="B150" t="s">
        <v>88</v>
      </c>
      <c r="C150" s="1">
        <v>46210</v>
      </c>
      <c r="D150" t="s">
        <v>2318</v>
      </c>
      <c r="E150" t="s">
        <v>92</v>
      </c>
      <c r="F150" t="s">
        <v>91</v>
      </c>
      <c r="G150" s="14">
        <v>13354.44</v>
      </c>
      <c r="H150">
        <v>1515</v>
      </c>
      <c r="I150">
        <v>8.81</v>
      </c>
      <c r="J150">
        <v>13354.44</v>
      </c>
    </row>
    <row r="151" spans="1:10" x14ac:dyDescent="0.25">
      <c r="A151" t="s">
        <v>2400</v>
      </c>
      <c r="B151" t="s">
        <v>96</v>
      </c>
      <c r="C151" s="1">
        <v>46210</v>
      </c>
      <c r="D151" t="s">
        <v>2401</v>
      </c>
      <c r="E151" t="s">
        <v>1388</v>
      </c>
      <c r="F151" t="s">
        <v>2402</v>
      </c>
      <c r="G151" s="14">
        <v>210900</v>
      </c>
      <c r="H151">
        <v>1515</v>
      </c>
      <c r="I151">
        <v>139.21</v>
      </c>
      <c r="J151">
        <v>210900</v>
      </c>
    </row>
    <row r="152" spans="1:10" x14ac:dyDescent="0.25">
      <c r="A152" t="s">
        <v>132</v>
      </c>
      <c r="B152" t="s">
        <v>88</v>
      </c>
      <c r="C152" s="1">
        <v>46209</v>
      </c>
      <c r="D152" t="s">
        <v>2237</v>
      </c>
      <c r="E152" t="s">
        <v>136</v>
      </c>
      <c r="F152" t="s">
        <v>65</v>
      </c>
      <c r="G152" s="14">
        <v>28234</v>
      </c>
      <c r="H152">
        <v>1510</v>
      </c>
      <c r="I152">
        <v>18.7</v>
      </c>
      <c r="J152">
        <v>34163.14</v>
      </c>
    </row>
    <row r="153" spans="1:10" x14ac:dyDescent="0.25">
      <c r="A153" t="s">
        <v>161</v>
      </c>
      <c r="B153" t="s">
        <v>88</v>
      </c>
      <c r="C153" s="1">
        <v>46209</v>
      </c>
      <c r="D153" t="s">
        <v>2242</v>
      </c>
      <c r="E153" t="s">
        <v>136</v>
      </c>
      <c r="F153" t="s">
        <v>135</v>
      </c>
      <c r="G153" s="14">
        <v>23737.200000000001</v>
      </c>
      <c r="H153">
        <v>1510</v>
      </c>
      <c r="I153">
        <v>15.72</v>
      </c>
      <c r="J153">
        <v>28720.2</v>
      </c>
    </row>
    <row r="154" spans="1:10" x14ac:dyDescent="0.25">
      <c r="A154" t="s">
        <v>175</v>
      </c>
      <c r="B154" t="s">
        <v>88</v>
      </c>
      <c r="C154" s="1">
        <v>46209</v>
      </c>
      <c r="D154" t="s">
        <v>2244</v>
      </c>
      <c r="E154" t="s">
        <v>177</v>
      </c>
      <c r="F154" t="s">
        <v>109</v>
      </c>
      <c r="G154" s="14">
        <v>106568.32000000001</v>
      </c>
      <c r="H154">
        <v>1510</v>
      </c>
      <c r="I154">
        <v>70.58</v>
      </c>
      <c r="J154">
        <v>135341.76999999999</v>
      </c>
    </row>
    <row r="155" spans="1:10" x14ac:dyDescent="0.25">
      <c r="A155" t="s">
        <v>175</v>
      </c>
      <c r="B155" t="s">
        <v>88</v>
      </c>
      <c r="C155" s="1">
        <v>46209</v>
      </c>
      <c r="D155" t="s">
        <v>2244</v>
      </c>
      <c r="E155" t="s">
        <v>180</v>
      </c>
      <c r="F155" t="s">
        <v>109</v>
      </c>
      <c r="G155" s="14">
        <v>4640.75</v>
      </c>
      <c r="H155">
        <v>1510</v>
      </c>
      <c r="I155">
        <v>3.07</v>
      </c>
      <c r="J155">
        <v>4640.75</v>
      </c>
    </row>
    <row r="156" spans="1:10" x14ac:dyDescent="0.25">
      <c r="A156" t="s">
        <v>361</v>
      </c>
      <c r="B156" t="s">
        <v>88</v>
      </c>
      <c r="C156" s="1">
        <v>46209</v>
      </c>
      <c r="D156" t="s">
        <v>2286</v>
      </c>
      <c r="E156" t="s">
        <v>136</v>
      </c>
      <c r="F156" t="s">
        <v>65</v>
      </c>
      <c r="G156" s="14">
        <v>15176.15</v>
      </c>
      <c r="H156">
        <v>1510</v>
      </c>
      <c r="I156">
        <v>10.050000000000001</v>
      </c>
      <c r="J156">
        <v>18363.14</v>
      </c>
    </row>
    <row r="157" spans="1:10" x14ac:dyDescent="0.25">
      <c r="A157" t="s">
        <v>2329</v>
      </c>
      <c r="B157" t="s">
        <v>88</v>
      </c>
      <c r="C157" s="1">
        <v>46209</v>
      </c>
      <c r="D157" t="s">
        <v>2330</v>
      </c>
      <c r="E157" t="s">
        <v>274</v>
      </c>
      <c r="F157" t="s">
        <v>64</v>
      </c>
      <c r="G157" s="14">
        <v>24710.74</v>
      </c>
      <c r="H157">
        <v>1510</v>
      </c>
      <c r="I157">
        <v>16.36</v>
      </c>
      <c r="J157">
        <v>29900</v>
      </c>
    </row>
    <row r="158" spans="1:10" x14ac:dyDescent="0.25">
      <c r="A158" t="s">
        <v>501</v>
      </c>
      <c r="B158" t="s">
        <v>88</v>
      </c>
      <c r="C158" s="1">
        <v>46209</v>
      </c>
      <c r="D158" t="s">
        <v>2338</v>
      </c>
      <c r="E158" t="s">
        <v>205</v>
      </c>
      <c r="F158" t="s">
        <v>109</v>
      </c>
      <c r="G158" s="14">
        <v>251030.28</v>
      </c>
      <c r="H158">
        <v>1510</v>
      </c>
      <c r="I158">
        <v>166.25</v>
      </c>
      <c r="J158">
        <v>303746.64</v>
      </c>
    </row>
    <row r="159" spans="1:10" x14ac:dyDescent="0.25">
      <c r="A159" t="s">
        <v>2281</v>
      </c>
      <c r="B159" t="s">
        <v>88</v>
      </c>
      <c r="C159" s="1">
        <v>46208</v>
      </c>
      <c r="D159" t="s">
        <v>2282</v>
      </c>
      <c r="E159" t="s">
        <v>90</v>
      </c>
      <c r="F159" t="s">
        <v>91</v>
      </c>
      <c r="G159" s="14">
        <v>89086.93</v>
      </c>
      <c r="H159">
        <v>1510</v>
      </c>
      <c r="I159">
        <v>59</v>
      </c>
      <c r="J159">
        <v>107795.2</v>
      </c>
    </row>
    <row r="160" spans="1:10" x14ac:dyDescent="0.25">
      <c r="A160" t="s">
        <v>2281</v>
      </c>
      <c r="B160" t="s">
        <v>88</v>
      </c>
      <c r="C160" s="1">
        <v>46208</v>
      </c>
      <c r="D160" t="s">
        <v>2282</v>
      </c>
      <c r="E160" t="s">
        <v>92</v>
      </c>
      <c r="F160" t="s">
        <v>91</v>
      </c>
      <c r="G160" s="14">
        <v>12237.81</v>
      </c>
      <c r="H160">
        <v>1510</v>
      </c>
      <c r="I160">
        <v>8.1</v>
      </c>
      <c r="J160">
        <v>12237.81</v>
      </c>
    </row>
    <row r="161" spans="1:10" x14ac:dyDescent="0.25">
      <c r="A161" t="s">
        <v>443</v>
      </c>
      <c r="B161" t="s">
        <v>88</v>
      </c>
      <c r="C161" s="1">
        <v>46208</v>
      </c>
      <c r="D161" t="s">
        <v>2317</v>
      </c>
      <c r="E161" t="s">
        <v>90</v>
      </c>
      <c r="F161" t="s">
        <v>91</v>
      </c>
      <c r="G161" s="14">
        <v>68936.34</v>
      </c>
      <c r="H161">
        <v>1510</v>
      </c>
      <c r="I161">
        <v>45.65</v>
      </c>
      <c r="J161">
        <v>83412.98</v>
      </c>
    </row>
    <row r="162" spans="1:10" x14ac:dyDescent="0.25">
      <c r="A162" t="s">
        <v>443</v>
      </c>
      <c r="B162" t="s">
        <v>88</v>
      </c>
      <c r="C162" s="1">
        <v>46208</v>
      </c>
      <c r="D162" t="s">
        <v>2317</v>
      </c>
      <c r="E162" t="s">
        <v>92</v>
      </c>
      <c r="F162" t="s">
        <v>91</v>
      </c>
      <c r="G162" s="14">
        <v>14591.13</v>
      </c>
      <c r="H162">
        <v>1510</v>
      </c>
      <c r="I162">
        <v>9.66</v>
      </c>
      <c r="J162">
        <v>14591.13</v>
      </c>
    </row>
    <row r="163" spans="1:10" x14ac:dyDescent="0.25">
      <c r="A163" t="s">
        <v>2335</v>
      </c>
      <c r="B163" t="s">
        <v>88</v>
      </c>
      <c r="C163" s="1">
        <v>46208</v>
      </c>
      <c r="D163" t="s">
        <v>2336</v>
      </c>
      <c r="E163" t="s">
        <v>218</v>
      </c>
      <c r="F163" t="s">
        <v>64</v>
      </c>
      <c r="G163" s="14">
        <v>15306.74</v>
      </c>
      <c r="H163">
        <v>1510</v>
      </c>
      <c r="I163">
        <v>10.14</v>
      </c>
      <c r="J163">
        <v>18521.16</v>
      </c>
    </row>
    <row r="164" spans="1:10" x14ac:dyDescent="0.25">
      <c r="A164" t="s">
        <v>2335</v>
      </c>
      <c r="B164" t="s">
        <v>88</v>
      </c>
      <c r="C164" s="1">
        <v>46208</v>
      </c>
      <c r="D164" t="s">
        <v>2336</v>
      </c>
      <c r="E164" t="s">
        <v>1207</v>
      </c>
      <c r="F164" t="s">
        <v>64</v>
      </c>
      <c r="G164" s="14">
        <v>78.849999999999994</v>
      </c>
      <c r="H164">
        <v>1510</v>
      </c>
      <c r="I164">
        <v>0.05</v>
      </c>
      <c r="J164">
        <v>78.849999999999994</v>
      </c>
    </row>
    <row r="165" spans="1:10" x14ac:dyDescent="0.25">
      <c r="A165" t="s">
        <v>561</v>
      </c>
      <c r="B165" t="s">
        <v>88</v>
      </c>
      <c r="C165" s="1">
        <v>46208</v>
      </c>
      <c r="D165" t="s">
        <v>2370</v>
      </c>
      <c r="E165" t="s">
        <v>90</v>
      </c>
      <c r="F165" t="s">
        <v>91</v>
      </c>
      <c r="G165" s="14">
        <v>74682.13</v>
      </c>
      <c r="H165">
        <v>1510</v>
      </c>
      <c r="I165">
        <v>49.46</v>
      </c>
      <c r="J165">
        <v>90365.39</v>
      </c>
    </row>
    <row r="166" spans="1:10" x14ac:dyDescent="0.25">
      <c r="A166" t="s">
        <v>561</v>
      </c>
      <c r="B166" t="s">
        <v>88</v>
      </c>
      <c r="C166" s="1">
        <v>46208</v>
      </c>
      <c r="D166" t="s">
        <v>2370</v>
      </c>
      <c r="E166" t="s">
        <v>92</v>
      </c>
      <c r="F166" t="s">
        <v>91</v>
      </c>
      <c r="G166" s="14">
        <v>15644.76</v>
      </c>
      <c r="H166">
        <v>1510</v>
      </c>
      <c r="I166">
        <v>10.36</v>
      </c>
      <c r="J166">
        <v>15644.76</v>
      </c>
    </row>
    <row r="167" spans="1:10" x14ac:dyDescent="0.25">
      <c r="A167" t="s">
        <v>561</v>
      </c>
      <c r="B167" t="s">
        <v>88</v>
      </c>
      <c r="C167" s="1">
        <v>46208</v>
      </c>
      <c r="D167" t="s">
        <v>2371</v>
      </c>
      <c r="E167" t="s">
        <v>90</v>
      </c>
      <c r="F167" t="s">
        <v>91</v>
      </c>
      <c r="G167" s="14">
        <v>10495.87</v>
      </c>
      <c r="H167">
        <v>1510</v>
      </c>
      <c r="I167">
        <v>6.95</v>
      </c>
      <c r="J167">
        <v>12700.01</v>
      </c>
    </row>
    <row r="168" spans="1:10" x14ac:dyDescent="0.25">
      <c r="A168" t="s">
        <v>383</v>
      </c>
      <c r="B168" t="s">
        <v>88</v>
      </c>
      <c r="C168" s="1">
        <v>46207</v>
      </c>
      <c r="D168" t="s">
        <v>2301</v>
      </c>
      <c r="E168" t="s">
        <v>136</v>
      </c>
      <c r="F168" t="s">
        <v>65</v>
      </c>
      <c r="G168" s="14">
        <v>101008.46</v>
      </c>
      <c r="H168">
        <v>1510</v>
      </c>
      <c r="I168">
        <v>66.89</v>
      </c>
      <c r="J168">
        <v>122220.24</v>
      </c>
    </row>
    <row r="169" spans="1:10" x14ac:dyDescent="0.25">
      <c r="A169" t="s">
        <v>453</v>
      </c>
      <c r="B169" t="s">
        <v>88</v>
      </c>
      <c r="C169" s="1">
        <v>46206</v>
      </c>
      <c r="D169" t="s">
        <v>2319</v>
      </c>
      <c r="E169" t="s">
        <v>136</v>
      </c>
      <c r="F169" t="s">
        <v>135</v>
      </c>
      <c r="G169" s="14">
        <v>235433</v>
      </c>
      <c r="H169">
        <v>1510</v>
      </c>
      <c r="I169">
        <v>155.91999999999999</v>
      </c>
      <c r="J169">
        <v>284873.93</v>
      </c>
    </row>
    <row r="170" spans="1:10" x14ac:dyDescent="0.25">
      <c r="A170" t="s">
        <v>504</v>
      </c>
      <c r="B170" t="s">
        <v>88</v>
      </c>
      <c r="C170" s="1">
        <v>46206</v>
      </c>
      <c r="D170" t="s">
        <v>2346</v>
      </c>
      <c r="E170" t="s">
        <v>422</v>
      </c>
      <c r="F170" t="s">
        <v>109</v>
      </c>
      <c r="G170" s="14">
        <v>66516</v>
      </c>
      <c r="H170">
        <v>1510</v>
      </c>
      <c r="I170">
        <v>44.05</v>
      </c>
      <c r="J170">
        <v>80484.36</v>
      </c>
    </row>
    <row r="171" spans="1:10" x14ac:dyDescent="0.25">
      <c r="A171" t="s">
        <v>2449</v>
      </c>
      <c r="B171" t="s">
        <v>88</v>
      </c>
      <c r="C171" s="1">
        <v>46206</v>
      </c>
      <c r="D171" t="s">
        <v>2450</v>
      </c>
      <c r="E171" t="s">
        <v>274</v>
      </c>
      <c r="F171" t="s">
        <v>271</v>
      </c>
      <c r="G171" s="14">
        <v>23966.94</v>
      </c>
      <c r="H171">
        <v>1510</v>
      </c>
      <c r="I171">
        <v>15.87</v>
      </c>
      <c r="J171">
        <v>29000</v>
      </c>
    </row>
    <row r="172" spans="1:10" x14ac:dyDescent="0.25">
      <c r="A172" t="s">
        <v>2249</v>
      </c>
      <c r="B172" t="s">
        <v>88</v>
      </c>
      <c r="C172" s="1">
        <v>46205</v>
      </c>
      <c r="D172" t="s">
        <v>2250</v>
      </c>
      <c r="E172" t="s">
        <v>136</v>
      </c>
      <c r="F172" t="s">
        <v>65</v>
      </c>
      <c r="G172" s="14">
        <v>144500</v>
      </c>
      <c r="H172">
        <v>1510</v>
      </c>
      <c r="I172">
        <v>95.7</v>
      </c>
      <c r="J172">
        <v>174845</v>
      </c>
    </row>
    <row r="173" spans="1:10" x14ac:dyDescent="0.25">
      <c r="A173" t="s">
        <v>1706</v>
      </c>
      <c r="B173" t="s">
        <v>88</v>
      </c>
      <c r="C173" s="1">
        <v>46205</v>
      </c>
      <c r="D173" t="s">
        <v>2322</v>
      </c>
      <c r="E173" t="s">
        <v>1708</v>
      </c>
      <c r="F173" t="s">
        <v>109</v>
      </c>
      <c r="G173" s="14">
        <v>199542.55</v>
      </c>
      <c r="H173">
        <v>1510</v>
      </c>
      <c r="I173">
        <v>132.15</v>
      </c>
      <c r="J173">
        <v>241446.49</v>
      </c>
    </row>
    <row r="174" spans="1:10" x14ac:dyDescent="0.25">
      <c r="A174" t="s">
        <v>473</v>
      </c>
      <c r="B174" t="s">
        <v>88</v>
      </c>
      <c r="C174" s="1">
        <v>46205</v>
      </c>
      <c r="D174" t="s">
        <v>2323</v>
      </c>
      <c r="E174" t="s">
        <v>152</v>
      </c>
      <c r="F174" t="s">
        <v>475</v>
      </c>
      <c r="G174" s="14">
        <v>395267.62</v>
      </c>
      <c r="H174">
        <v>1510</v>
      </c>
      <c r="I174">
        <v>261.77</v>
      </c>
      <c r="J174">
        <v>478273.82</v>
      </c>
    </row>
    <row r="175" spans="1:10" x14ac:dyDescent="0.25">
      <c r="A175" t="s">
        <v>473</v>
      </c>
      <c r="B175" t="s">
        <v>88</v>
      </c>
      <c r="C175" s="1">
        <v>46205</v>
      </c>
      <c r="D175" t="s">
        <v>2323</v>
      </c>
      <c r="E175" t="s">
        <v>153</v>
      </c>
      <c r="F175" t="s">
        <v>475</v>
      </c>
      <c r="G175" s="14">
        <v>9806.07</v>
      </c>
      <c r="H175">
        <v>1510</v>
      </c>
      <c r="I175">
        <v>6.49</v>
      </c>
      <c r="J175">
        <v>9806.07</v>
      </c>
    </row>
    <row r="176" spans="1:10" x14ac:dyDescent="0.25">
      <c r="A176" t="s">
        <v>2048</v>
      </c>
      <c r="B176" t="s">
        <v>88</v>
      </c>
      <c r="C176" s="1">
        <v>46205</v>
      </c>
      <c r="D176" t="s">
        <v>2359</v>
      </c>
      <c r="E176" t="s">
        <v>184</v>
      </c>
      <c r="F176" t="s">
        <v>65</v>
      </c>
      <c r="G176" s="14">
        <v>14049.59</v>
      </c>
      <c r="H176">
        <v>1510</v>
      </c>
      <c r="I176">
        <v>9.3000000000000007</v>
      </c>
      <c r="J176">
        <v>17000</v>
      </c>
    </row>
    <row r="177" spans="1:10" x14ac:dyDescent="0.25">
      <c r="A177" t="s">
        <v>298</v>
      </c>
      <c r="B177" t="s">
        <v>88</v>
      </c>
      <c r="C177" s="1">
        <v>46205</v>
      </c>
      <c r="D177" t="s">
        <v>2399</v>
      </c>
      <c r="E177" t="s">
        <v>205</v>
      </c>
      <c r="F177" t="s">
        <v>109</v>
      </c>
      <c r="G177" s="14">
        <v>127000</v>
      </c>
      <c r="H177">
        <v>1510</v>
      </c>
      <c r="I177">
        <v>84.11</v>
      </c>
      <c r="J177">
        <v>153670</v>
      </c>
    </row>
    <row r="178" spans="1:10" x14ac:dyDescent="0.25">
      <c r="A178" t="s">
        <v>106</v>
      </c>
      <c r="B178" t="s">
        <v>88</v>
      </c>
      <c r="C178" s="1">
        <v>46204</v>
      </c>
      <c r="D178" t="s">
        <v>2233</v>
      </c>
      <c r="E178" t="s">
        <v>102</v>
      </c>
      <c r="F178" t="s">
        <v>109</v>
      </c>
      <c r="G178" s="14">
        <v>61295</v>
      </c>
      <c r="H178">
        <v>1510</v>
      </c>
      <c r="I178">
        <v>40.590000000000003</v>
      </c>
      <c r="J178">
        <v>61295</v>
      </c>
    </row>
    <row r="179" spans="1:10" x14ac:dyDescent="0.25">
      <c r="A179" t="s">
        <v>132</v>
      </c>
      <c r="B179" t="s">
        <v>88</v>
      </c>
      <c r="C179" s="1">
        <v>46204</v>
      </c>
      <c r="D179" t="s">
        <v>2236</v>
      </c>
      <c r="E179" t="s">
        <v>136</v>
      </c>
      <c r="F179" t="s">
        <v>65</v>
      </c>
      <c r="G179" s="14">
        <v>31430.639999999999</v>
      </c>
      <c r="H179">
        <v>1510</v>
      </c>
      <c r="I179">
        <v>20.81</v>
      </c>
      <c r="J179">
        <v>38031.07</v>
      </c>
    </row>
    <row r="180" spans="1:10" x14ac:dyDescent="0.25">
      <c r="A180" t="s">
        <v>1096</v>
      </c>
      <c r="B180" t="s">
        <v>88</v>
      </c>
      <c r="C180" s="1">
        <v>46204</v>
      </c>
      <c r="D180" t="s">
        <v>2264</v>
      </c>
      <c r="E180" t="s">
        <v>653</v>
      </c>
      <c r="F180" t="s">
        <v>69</v>
      </c>
      <c r="G180" s="14">
        <v>213223.14</v>
      </c>
      <c r="H180">
        <v>1510</v>
      </c>
      <c r="I180">
        <v>141.21</v>
      </c>
      <c r="J180">
        <v>258000</v>
      </c>
    </row>
    <row r="181" spans="1:10" x14ac:dyDescent="0.25">
      <c r="A181" t="s">
        <v>265</v>
      </c>
      <c r="B181" t="s">
        <v>88</v>
      </c>
      <c r="C181" s="1">
        <v>46204</v>
      </c>
      <c r="D181" t="s">
        <v>2267</v>
      </c>
      <c r="E181" t="s">
        <v>267</v>
      </c>
      <c r="F181" t="s">
        <v>109</v>
      </c>
      <c r="G181" s="14">
        <v>92000</v>
      </c>
      <c r="H181">
        <v>1510</v>
      </c>
      <c r="I181">
        <v>60.93</v>
      </c>
      <c r="J181">
        <v>111320</v>
      </c>
    </row>
    <row r="182" spans="1:10" x14ac:dyDescent="0.25">
      <c r="A182" t="s">
        <v>2110</v>
      </c>
      <c r="B182" t="s">
        <v>88</v>
      </c>
      <c r="C182" s="1">
        <v>46204</v>
      </c>
      <c r="D182" t="s">
        <v>2268</v>
      </c>
      <c r="E182" t="s">
        <v>184</v>
      </c>
      <c r="F182" t="s">
        <v>2076</v>
      </c>
      <c r="G182" s="14">
        <v>85000</v>
      </c>
      <c r="H182">
        <v>1510</v>
      </c>
      <c r="I182">
        <v>56.29</v>
      </c>
      <c r="J182">
        <v>102850</v>
      </c>
    </row>
    <row r="183" spans="1:10" x14ac:dyDescent="0.25">
      <c r="A183" t="s">
        <v>1788</v>
      </c>
      <c r="B183" t="s">
        <v>88</v>
      </c>
      <c r="C183" s="1">
        <v>46204</v>
      </c>
      <c r="D183" t="s">
        <v>2369</v>
      </c>
      <c r="E183" t="s">
        <v>136</v>
      </c>
      <c r="F183" t="s">
        <v>63</v>
      </c>
      <c r="G183" s="14">
        <v>122314.05</v>
      </c>
      <c r="H183">
        <v>1510</v>
      </c>
      <c r="I183">
        <v>81</v>
      </c>
      <c r="J183">
        <v>148000</v>
      </c>
    </row>
    <row r="184" spans="1:10" x14ac:dyDescent="0.25">
      <c r="A184" t="s">
        <v>791</v>
      </c>
      <c r="B184" t="s">
        <v>96</v>
      </c>
      <c r="C184" s="1">
        <v>46204</v>
      </c>
      <c r="D184" t="s">
        <v>2403</v>
      </c>
      <c r="E184" t="s">
        <v>98</v>
      </c>
      <c r="F184" t="s">
        <v>551</v>
      </c>
      <c r="G184" s="14">
        <v>39014.83</v>
      </c>
      <c r="H184">
        <v>1510</v>
      </c>
      <c r="I184">
        <v>25.84</v>
      </c>
      <c r="J184">
        <v>39014.83</v>
      </c>
    </row>
    <row r="185" spans="1:10" x14ac:dyDescent="0.25">
      <c r="A185" t="s">
        <v>275</v>
      </c>
      <c r="B185" t="s">
        <v>88</v>
      </c>
      <c r="C185" s="1">
        <v>46204</v>
      </c>
      <c r="D185" t="s">
        <v>2410</v>
      </c>
      <c r="E185" t="s">
        <v>90</v>
      </c>
      <c r="F185" t="s">
        <v>91</v>
      </c>
      <c r="G185" s="14">
        <v>944590.98</v>
      </c>
      <c r="H185">
        <v>1510</v>
      </c>
      <c r="I185">
        <v>625.55999999999995</v>
      </c>
      <c r="J185">
        <v>1142955.07</v>
      </c>
    </row>
    <row r="186" spans="1:10" x14ac:dyDescent="0.25">
      <c r="A186" t="s">
        <v>275</v>
      </c>
      <c r="B186" t="s">
        <v>88</v>
      </c>
      <c r="C186" s="1">
        <v>46204</v>
      </c>
      <c r="D186" t="s">
        <v>2410</v>
      </c>
      <c r="E186" t="s">
        <v>92</v>
      </c>
      <c r="F186" t="s">
        <v>91</v>
      </c>
      <c r="G186" s="14">
        <v>156933.54999999999</v>
      </c>
      <c r="H186">
        <v>1510</v>
      </c>
      <c r="I186">
        <v>103.93</v>
      </c>
      <c r="J186">
        <v>156933.54999999999</v>
      </c>
    </row>
    <row r="187" spans="1:10" x14ac:dyDescent="0.25">
      <c r="A187" t="s">
        <v>226</v>
      </c>
      <c r="B187" t="s">
        <v>88</v>
      </c>
      <c r="C187" s="1">
        <v>46203</v>
      </c>
      <c r="D187" t="s">
        <v>2255</v>
      </c>
      <c r="E187" t="s">
        <v>232</v>
      </c>
      <c r="F187" t="s">
        <v>109</v>
      </c>
      <c r="G187" s="14">
        <v>7077.81</v>
      </c>
      <c r="H187">
        <v>1500</v>
      </c>
      <c r="I187">
        <v>4.72</v>
      </c>
      <c r="J187">
        <v>8988.82</v>
      </c>
    </row>
    <row r="188" spans="1:10" x14ac:dyDescent="0.25">
      <c r="A188" t="s">
        <v>226</v>
      </c>
      <c r="B188" t="s">
        <v>88</v>
      </c>
      <c r="C188" s="1">
        <v>46203</v>
      </c>
      <c r="D188" t="s">
        <v>2255</v>
      </c>
      <c r="E188" t="s">
        <v>233</v>
      </c>
      <c r="F188" t="s">
        <v>109</v>
      </c>
      <c r="G188" s="14">
        <v>1163.6300000000001</v>
      </c>
      <c r="H188">
        <v>1500</v>
      </c>
      <c r="I188">
        <v>0.78</v>
      </c>
      <c r="J188">
        <v>1163.6300000000001</v>
      </c>
    </row>
    <row r="189" spans="1:10" x14ac:dyDescent="0.25">
      <c r="A189" t="s">
        <v>226</v>
      </c>
      <c r="B189" t="s">
        <v>88</v>
      </c>
      <c r="C189" s="1">
        <v>46203</v>
      </c>
      <c r="D189" t="s">
        <v>2256</v>
      </c>
      <c r="E189" t="s">
        <v>232</v>
      </c>
      <c r="F189" t="s">
        <v>109</v>
      </c>
      <c r="G189" s="14">
        <v>8464.77</v>
      </c>
      <c r="H189">
        <v>1500</v>
      </c>
      <c r="I189">
        <v>5.64</v>
      </c>
      <c r="J189">
        <v>10750.26</v>
      </c>
    </row>
    <row r="190" spans="1:10" x14ac:dyDescent="0.25">
      <c r="A190" t="s">
        <v>226</v>
      </c>
      <c r="B190" t="s">
        <v>88</v>
      </c>
      <c r="C190" s="1">
        <v>46203</v>
      </c>
      <c r="D190" t="s">
        <v>2256</v>
      </c>
      <c r="E190" t="s">
        <v>233</v>
      </c>
      <c r="F190" t="s">
        <v>109</v>
      </c>
      <c r="G190" s="14">
        <v>643.51</v>
      </c>
      <c r="H190">
        <v>1500</v>
      </c>
      <c r="I190">
        <v>0.43</v>
      </c>
      <c r="J190">
        <v>643.51</v>
      </c>
    </row>
    <row r="191" spans="1:10" x14ac:dyDescent="0.25">
      <c r="A191" t="s">
        <v>2131</v>
      </c>
      <c r="B191" t="s">
        <v>88</v>
      </c>
      <c r="C191" s="1">
        <v>46203</v>
      </c>
      <c r="D191" t="s">
        <v>2276</v>
      </c>
      <c r="E191" t="s">
        <v>136</v>
      </c>
      <c r="F191" t="s">
        <v>65</v>
      </c>
      <c r="G191" s="14">
        <v>203336</v>
      </c>
      <c r="H191">
        <v>1500</v>
      </c>
      <c r="I191">
        <v>135.56</v>
      </c>
      <c r="J191">
        <v>246036.56</v>
      </c>
    </row>
    <row r="192" spans="1:10" x14ac:dyDescent="0.25">
      <c r="A192" t="s">
        <v>349</v>
      </c>
      <c r="B192" t="s">
        <v>88</v>
      </c>
      <c r="C192" s="1">
        <v>46203</v>
      </c>
      <c r="D192" t="s">
        <v>2285</v>
      </c>
      <c r="E192" t="s">
        <v>102</v>
      </c>
      <c r="F192" t="s">
        <v>109</v>
      </c>
      <c r="G192" s="14">
        <v>292675.87</v>
      </c>
      <c r="H192">
        <v>1500</v>
      </c>
      <c r="I192">
        <v>195.12</v>
      </c>
      <c r="J192">
        <v>292675.87</v>
      </c>
    </row>
    <row r="193" spans="1:10" x14ac:dyDescent="0.25">
      <c r="A193" t="s">
        <v>361</v>
      </c>
      <c r="B193" t="s">
        <v>88</v>
      </c>
      <c r="C193" s="1">
        <v>46203</v>
      </c>
      <c r="D193" t="s">
        <v>2287</v>
      </c>
      <c r="E193" t="s">
        <v>136</v>
      </c>
      <c r="F193" t="s">
        <v>65</v>
      </c>
      <c r="G193" s="14">
        <v>854901.49</v>
      </c>
      <c r="H193">
        <v>1500</v>
      </c>
      <c r="I193">
        <v>569.92999999999995</v>
      </c>
      <c r="J193">
        <v>1034430.8</v>
      </c>
    </row>
    <row r="194" spans="1:10" x14ac:dyDescent="0.25">
      <c r="A194" t="s">
        <v>400</v>
      </c>
      <c r="B194" t="s">
        <v>88</v>
      </c>
      <c r="C194" s="1">
        <v>46203</v>
      </c>
      <c r="D194" t="s">
        <v>2305</v>
      </c>
      <c r="E194" t="s">
        <v>184</v>
      </c>
      <c r="F194" t="s">
        <v>69</v>
      </c>
      <c r="G194" s="14">
        <v>328247.12</v>
      </c>
      <c r="H194">
        <v>1500</v>
      </c>
      <c r="I194">
        <v>218.83</v>
      </c>
      <c r="J194">
        <v>397179.01</v>
      </c>
    </row>
    <row r="195" spans="1:10" x14ac:dyDescent="0.25">
      <c r="A195" t="s">
        <v>400</v>
      </c>
      <c r="B195" t="s">
        <v>88</v>
      </c>
      <c r="C195" s="1">
        <v>46203</v>
      </c>
      <c r="D195" t="s">
        <v>2305</v>
      </c>
      <c r="E195" t="s">
        <v>184</v>
      </c>
      <c r="F195" t="s">
        <v>64</v>
      </c>
      <c r="G195" s="14">
        <v>62100.81</v>
      </c>
      <c r="H195">
        <v>1500</v>
      </c>
      <c r="I195">
        <v>41.4</v>
      </c>
      <c r="J195">
        <v>75141.98</v>
      </c>
    </row>
    <row r="196" spans="1:10" x14ac:dyDescent="0.25">
      <c r="A196" t="s">
        <v>400</v>
      </c>
      <c r="B196" t="s">
        <v>88</v>
      </c>
      <c r="C196" s="1">
        <v>46203</v>
      </c>
      <c r="D196" t="s">
        <v>2305</v>
      </c>
      <c r="E196" t="s">
        <v>184</v>
      </c>
      <c r="F196" t="s">
        <v>65</v>
      </c>
      <c r="G196" s="14">
        <v>496806.46</v>
      </c>
      <c r="H196">
        <v>1500</v>
      </c>
      <c r="I196">
        <v>331.2</v>
      </c>
      <c r="J196">
        <v>601135.81999999995</v>
      </c>
    </row>
    <row r="197" spans="1:10" x14ac:dyDescent="0.25">
      <c r="A197" t="s">
        <v>2166</v>
      </c>
      <c r="B197" t="s">
        <v>88</v>
      </c>
      <c r="C197" s="1">
        <v>46203</v>
      </c>
      <c r="D197" t="s">
        <v>2320</v>
      </c>
      <c r="E197" t="s">
        <v>529</v>
      </c>
      <c r="F197" t="s">
        <v>64</v>
      </c>
      <c r="G197" s="14">
        <v>295400</v>
      </c>
      <c r="H197">
        <v>1500</v>
      </c>
      <c r="I197">
        <v>196.93</v>
      </c>
      <c r="J197">
        <v>357434</v>
      </c>
    </row>
    <row r="198" spans="1:10" x14ac:dyDescent="0.25">
      <c r="A198" t="s">
        <v>2166</v>
      </c>
      <c r="B198" t="s">
        <v>88</v>
      </c>
      <c r="C198" s="1">
        <v>46203</v>
      </c>
      <c r="D198" t="s">
        <v>2320</v>
      </c>
      <c r="E198" t="s">
        <v>205</v>
      </c>
      <c r="F198" t="s">
        <v>64</v>
      </c>
      <c r="G198" s="14">
        <v>288015</v>
      </c>
      <c r="H198">
        <v>1500</v>
      </c>
      <c r="I198">
        <v>192.01</v>
      </c>
      <c r="J198">
        <v>348498.15</v>
      </c>
    </row>
    <row r="199" spans="1:10" x14ac:dyDescent="0.25">
      <c r="A199" t="s">
        <v>2166</v>
      </c>
      <c r="B199" t="s">
        <v>88</v>
      </c>
      <c r="C199" s="1">
        <v>46203</v>
      </c>
      <c r="D199" t="s">
        <v>2321</v>
      </c>
      <c r="E199" t="s">
        <v>102</v>
      </c>
      <c r="F199" t="s">
        <v>64</v>
      </c>
      <c r="G199" s="14">
        <v>416895.49</v>
      </c>
      <c r="H199">
        <v>1500</v>
      </c>
      <c r="I199">
        <v>277.93</v>
      </c>
      <c r="J199">
        <v>416895.49</v>
      </c>
    </row>
    <row r="200" spans="1:10" x14ac:dyDescent="0.25">
      <c r="A200" t="s">
        <v>1413</v>
      </c>
      <c r="B200" t="s">
        <v>96</v>
      </c>
      <c r="C200" s="1">
        <v>46203</v>
      </c>
      <c r="D200" t="s">
        <v>2344</v>
      </c>
      <c r="E200" t="s">
        <v>1412</v>
      </c>
      <c r="F200" t="s">
        <v>69</v>
      </c>
      <c r="G200" s="14">
        <v>70000</v>
      </c>
      <c r="H200">
        <v>1500</v>
      </c>
      <c r="I200">
        <v>46.67</v>
      </c>
      <c r="J200">
        <v>70000</v>
      </c>
    </row>
    <row r="201" spans="1:10" x14ac:dyDescent="0.25">
      <c r="A201" t="s">
        <v>521</v>
      </c>
      <c r="B201" t="s">
        <v>88</v>
      </c>
      <c r="C201" s="1">
        <v>46203</v>
      </c>
      <c r="D201" t="s">
        <v>2354</v>
      </c>
      <c r="E201" t="s">
        <v>136</v>
      </c>
      <c r="F201" t="s">
        <v>65</v>
      </c>
      <c r="G201" s="14">
        <v>35930</v>
      </c>
      <c r="H201">
        <v>1500</v>
      </c>
      <c r="I201">
        <v>23.95</v>
      </c>
      <c r="J201">
        <v>43475.3</v>
      </c>
    </row>
    <row r="202" spans="1:10" x14ac:dyDescent="0.25">
      <c r="A202" t="s">
        <v>521</v>
      </c>
      <c r="B202" t="s">
        <v>88</v>
      </c>
      <c r="C202" s="1">
        <v>46203</v>
      </c>
      <c r="D202" t="s">
        <v>2355</v>
      </c>
      <c r="E202" t="s">
        <v>136</v>
      </c>
      <c r="F202" t="s">
        <v>64</v>
      </c>
      <c r="G202" s="14">
        <v>134150</v>
      </c>
      <c r="H202">
        <v>1500</v>
      </c>
      <c r="I202">
        <v>89.43</v>
      </c>
      <c r="J202">
        <v>162321.5</v>
      </c>
    </row>
    <row r="203" spans="1:10" x14ac:dyDescent="0.25">
      <c r="A203" t="s">
        <v>81</v>
      </c>
      <c r="B203" t="s">
        <v>88</v>
      </c>
      <c r="C203" s="1">
        <v>46202</v>
      </c>
      <c r="D203" t="s">
        <v>2232</v>
      </c>
      <c r="E203" t="s">
        <v>84</v>
      </c>
      <c r="F203" t="s">
        <v>64</v>
      </c>
      <c r="G203" s="14">
        <v>311011.89</v>
      </c>
      <c r="H203">
        <v>1495</v>
      </c>
      <c r="I203">
        <v>208.03</v>
      </c>
      <c r="J203">
        <v>311011.89</v>
      </c>
    </row>
    <row r="204" spans="1:10" x14ac:dyDescent="0.25">
      <c r="A204" t="s">
        <v>81</v>
      </c>
      <c r="B204" t="s">
        <v>88</v>
      </c>
      <c r="C204" s="1">
        <v>46202</v>
      </c>
      <c r="D204" t="s">
        <v>2232</v>
      </c>
      <c r="E204" t="s">
        <v>570</v>
      </c>
      <c r="G204" s="14">
        <v>0</v>
      </c>
      <c r="H204">
        <v>1495</v>
      </c>
      <c r="I204">
        <v>0</v>
      </c>
      <c r="J204">
        <v>389617.83</v>
      </c>
    </row>
    <row r="205" spans="1:10" x14ac:dyDescent="0.25">
      <c r="A205" t="s">
        <v>246</v>
      </c>
      <c r="B205" t="s">
        <v>88</v>
      </c>
      <c r="C205" s="1">
        <v>46202</v>
      </c>
      <c r="D205" t="s">
        <v>2261</v>
      </c>
      <c r="E205" t="s">
        <v>114</v>
      </c>
      <c r="F205" t="s">
        <v>117</v>
      </c>
      <c r="G205" s="14">
        <v>6198.35</v>
      </c>
      <c r="H205">
        <v>1495</v>
      </c>
      <c r="I205">
        <v>4.1500000000000004</v>
      </c>
      <c r="J205">
        <v>7500</v>
      </c>
    </row>
    <row r="206" spans="1:10" x14ac:dyDescent="0.25">
      <c r="A206" t="s">
        <v>246</v>
      </c>
      <c r="B206" t="s">
        <v>88</v>
      </c>
      <c r="C206" s="1">
        <v>46202</v>
      </c>
      <c r="D206" t="s">
        <v>2262</v>
      </c>
      <c r="E206" t="s">
        <v>114</v>
      </c>
      <c r="F206" t="s">
        <v>117</v>
      </c>
      <c r="G206" s="14">
        <v>4958.68</v>
      </c>
      <c r="H206">
        <v>1495</v>
      </c>
      <c r="I206">
        <v>3.32</v>
      </c>
      <c r="J206">
        <v>6000</v>
      </c>
    </row>
    <row r="207" spans="1:10" x14ac:dyDescent="0.25">
      <c r="A207" t="s">
        <v>246</v>
      </c>
      <c r="B207" t="s">
        <v>88</v>
      </c>
      <c r="C207" s="1">
        <v>46202</v>
      </c>
      <c r="D207" t="s">
        <v>2263</v>
      </c>
      <c r="E207" t="s">
        <v>114</v>
      </c>
      <c r="F207" t="s">
        <v>117</v>
      </c>
      <c r="G207" s="14">
        <v>1239.67</v>
      </c>
      <c r="H207">
        <v>1495</v>
      </c>
      <c r="I207">
        <v>0.83</v>
      </c>
      <c r="J207">
        <v>1500</v>
      </c>
    </row>
    <row r="208" spans="1:10" x14ac:dyDescent="0.25">
      <c r="A208" t="s">
        <v>2269</v>
      </c>
      <c r="B208" t="s">
        <v>88</v>
      </c>
      <c r="C208" s="1">
        <v>46202</v>
      </c>
      <c r="D208" t="s">
        <v>2270</v>
      </c>
      <c r="E208" t="s">
        <v>205</v>
      </c>
      <c r="F208" t="s">
        <v>64</v>
      </c>
      <c r="G208" s="14">
        <v>300000</v>
      </c>
      <c r="H208">
        <v>1495</v>
      </c>
      <c r="I208">
        <v>200.67</v>
      </c>
      <c r="J208">
        <v>363000</v>
      </c>
    </row>
    <row r="209" spans="1:10" x14ac:dyDescent="0.25">
      <c r="A209" t="s">
        <v>1055</v>
      </c>
      <c r="B209" t="s">
        <v>88</v>
      </c>
      <c r="C209" s="1">
        <v>46200</v>
      </c>
      <c r="D209" t="s">
        <v>2254</v>
      </c>
      <c r="E209" t="s">
        <v>90</v>
      </c>
      <c r="F209" t="s">
        <v>91</v>
      </c>
      <c r="G209" s="14">
        <v>44047.199999999997</v>
      </c>
      <c r="H209">
        <v>1495</v>
      </c>
      <c r="I209">
        <v>29.46</v>
      </c>
      <c r="J209">
        <v>53297.11</v>
      </c>
    </row>
    <row r="210" spans="1:10" x14ac:dyDescent="0.25">
      <c r="A210" t="s">
        <v>1055</v>
      </c>
      <c r="B210" t="s">
        <v>88</v>
      </c>
      <c r="C210" s="1">
        <v>46200</v>
      </c>
      <c r="D210" t="s">
        <v>2254</v>
      </c>
      <c r="E210" t="s">
        <v>92</v>
      </c>
      <c r="F210" t="s">
        <v>91</v>
      </c>
      <c r="G210" s="14">
        <v>6702.89</v>
      </c>
      <c r="H210">
        <v>1495</v>
      </c>
      <c r="I210">
        <v>4.4800000000000004</v>
      </c>
      <c r="J210">
        <v>6702.89</v>
      </c>
    </row>
    <row r="211" spans="1:10" x14ac:dyDescent="0.25">
      <c r="A211" t="s">
        <v>246</v>
      </c>
      <c r="B211" t="s">
        <v>88</v>
      </c>
      <c r="C211" s="1">
        <v>46200</v>
      </c>
      <c r="D211" t="s">
        <v>2260</v>
      </c>
      <c r="E211" t="s">
        <v>114</v>
      </c>
      <c r="F211" t="s">
        <v>117</v>
      </c>
      <c r="G211" s="14">
        <v>4958.68</v>
      </c>
      <c r="H211">
        <v>1495</v>
      </c>
      <c r="I211">
        <v>3.32</v>
      </c>
      <c r="J211">
        <v>6000</v>
      </c>
    </row>
    <row r="212" spans="1:10" x14ac:dyDescent="0.25">
      <c r="A212" t="s">
        <v>1126</v>
      </c>
      <c r="B212" t="s">
        <v>88</v>
      </c>
      <c r="C212" s="1">
        <v>46199</v>
      </c>
      <c r="D212" t="s">
        <v>2423</v>
      </c>
      <c r="E212" t="s">
        <v>2422</v>
      </c>
      <c r="F212" t="s">
        <v>2422</v>
      </c>
      <c r="G212">
        <v>9741553.5</v>
      </c>
      <c r="H212">
        <v>1495</v>
      </c>
      <c r="I212">
        <v>6516.09</v>
      </c>
      <c r="J212">
        <v>9741553.5</v>
      </c>
    </row>
    <row r="213" spans="1:10" x14ac:dyDescent="0.25">
      <c r="A213" t="s">
        <v>1215</v>
      </c>
      <c r="B213" t="s">
        <v>96</v>
      </c>
      <c r="C213" s="1">
        <v>46199</v>
      </c>
      <c r="D213" t="s">
        <v>2302</v>
      </c>
      <c r="E213" t="s">
        <v>102</v>
      </c>
      <c r="F213" t="s">
        <v>109</v>
      </c>
      <c r="G213" s="14">
        <v>115098.93</v>
      </c>
      <c r="H213">
        <v>1495</v>
      </c>
      <c r="I213">
        <v>76.989999999999995</v>
      </c>
      <c r="J213">
        <v>115098.93</v>
      </c>
    </row>
    <row r="214" spans="1:10" x14ac:dyDescent="0.25">
      <c r="A214" t="s">
        <v>1937</v>
      </c>
      <c r="B214" t="s">
        <v>88</v>
      </c>
      <c r="C214" s="1">
        <v>46199</v>
      </c>
      <c r="D214" t="s">
        <v>2306</v>
      </c>
      <c r="E214" t="s">
        <v>274</v>
      </c>
      <c r="F214" t="s">
        <v>271</v>
      </c>
      <c r="G214" s="14">
        <v>34462.81</v>
      </c>
      <c r="H214">
        <v>1495</v>
      </c>
      <c r="I214">
        <v>23.05</v>
      </c>
      <c r="J214">
        <v>41700</v>
      </c>
    </row>
    <row r="215" spans="1:10" x14ac:dyDescent="0.25">
      <c r="A215" t="s">
        <v>552</v>
      </c>
      <c r="B215" t="s">
        <v>88</v>
      </c>
      <c r="C215" s="1">
        <v>46199</v>
      </c>
      <c r="D215" t="s">
        <v>2367</v>
      </c>
      <c r="E215" t="s">
        <v>136</v>
      </c>
      <c r="F215" t="s">
        <v>69</v>
      </c>
      <c r="G215" s="14">
        <v>256010.25</v>
      </c>
      <c r="H215">
        <v>1495</v>
      </c>
      <c r="I215">
        <v>171.24</v>
      </c>
      <c r="J215">
        <v>309772.40000000002</v>
      </c>
    </row>
    <row r="216" spans="1:10" x14ac:dyDescent="0.25">
      <c r="A216" t="s">
        <v>552</v>
      </c>
      <c r="B216" t="s">
        <v>88</v>
      </c>
      <c r="C216" s="1">
        <v>46199</v>
      </c>
      <c r="D216" t="s">
        <v>2367</v>
      </c>
      <c r="E216" t="s">
        <v>136</v>
      </c>
      <c r="F216" t="s">
        <v>65</v>
      </c>
      <c r="G216" s="14">
        <v>137851.67000000001</v>
      </c>
      <c r="H216">
        <v>1495</v>
      </c>
      <c r="I216">
        <v>92.21</v>
      </c>
      <c r="J216">
        <v>166800.51999999999</v>
      </c>
    </row>
    <row r="217" spans="1:10" x14ac:dyDescent="0.25">
      <c r="A217" t="s">
        <v>132</v>
      </c>
      <c r="B217" t="s">
        <v>88</v>
      </c>
      <c r="C217" s="1">
        <v>46199</v>
      </c>
      <c r="D217" t="s">
        <v>2435</v>
      </c>
      <c r="E217" t="s">
        <v>136</v>
      </c>
      <c r="F217" t="s">
        <v>135</v>
      </c>
      <c r="G217" s="14">
        <v>58995.68</v>
      </c>
      <c r="H217">
        <v>1495</v>
      </c>
      <c r="I217">
        <v>39.46</v>
      </c>
      <c r="J217">
        <v>71384.77</v>
      </c>
    </row>
    <row r="218" spans="1:10" x14ac:dyDescent="0.25">
      <c r="A218" t="s">
        <v>2449</v>
      </c>
      <c r="B218" t="s">
        <v>88</v>
      </c>
      <c r="C218" s="1">
        <v>46199</v>
      </c>
      <c r="D218" t="s">
        <v>2451</v>
      </c>
      <c r="E218" t="s">
        <v>274</v>
      </c>
      <c r="F218" t="s">
        <v>271</v>
      </c>
      <c r="G218" s="14">
        <v>7024.79</v>
      </c>
      <c r="H218">
        <v>1495</v>
      </c>
      <c r="I218">
        <v>4.7</v>
      </c>
      <c r="J218">
        <v>8500</v>
      </c>
    </row>
    <row r="219" spans="1:10" x14ac:dyDescent="0.25">
      <c r="A219" t="s">
        <v>1047</v>
      </c>
      <c r="B219" t="s">
        <v>263</v>
      </c>
      <c r="C219" s="1">
        <v>46198</v>
      </c>
      <c r="D219" t="s">
        <v>2248</v>
      </c>
      <c r="E219" t="s">
        <v>1000</v>
      </c>
      <c r="F219" t="s">
        <v>69</v>
      </c>
      <c r="G219" s="14">
        <v>74072</v>
      </c>
      <c r="H219">
        <v>1495</v>
      </c>
      <c r="I219">
        <v>49.55</v>
      </c>
      <c r="J219">
        <v>74072</v>
      </c>
    </row>
    <row r="220" spans="1:10" x14ac:dyDescent="0.25">
      <c r="A220" t="s">
        <v>1096</v>
      </c>
      <c r="B220" t="s">
        <v>88</v>
      </c>
      <c r="C220" s="1">
        <v>46198</v>
      </c>
      <c r="D220" t="s">
        <v>2266</v>
      </c>
      <c r="E220" t="s">
        <v>653</v>
      </c>
      <c r="F220" t="s">
        <v>69</v>
      </c>
      <c r="G220" s="14">
        <v>568595.04</v>
      </c>
      <c r="H220">
        <v>1495</v>
      </c>
      <c r="I220">
        <v>380.33</v>
      </c>
      <c r="J220">
        <v>688000</v>
      </c>
    </row>
    <row r="221" spans="1:10" x14ac:dyDescent="0.25">
      <c r="A221" t="s">
        <v>2296</v>
      </c>
      <c r="B221" t="s">
        <v>88</v>
      </c>
      <c r="C221" s="1">
        <v>46198</v>
      </c>
      <c r="D221" t="s">
        <v>2299</v>
      </c>
      <c r="E221" t="s">
        <v>90</v>
      </c>
      <c r="F221" t="s">
        <v>91</v>
      </c>
      <c r="G221" s="14">
        <v>241632.88</v>
      </c>
      <c r="H221">
        <v>1495</v>
      </c>
      <c r="I221">
        <v>161.63</v>
      </c>
      <c r="J221">
        <v>292375.78999999998</v>
      </c>
    </row>
    <row r="222" spans="1:10" x14ac:dyDescent="0.25">
      <c r="A222" t="s">
        <v>2296</v>
      </c>
      <c r="B222" t="s">
        <v>88</v>
      </c>
      <c r="C222" s="1">
        <v>46198</v>
      </c>
      <c r="D222" t="s">
        <v>2299</v>
      </c>
      <c r="E222" t="s">
        <v>92</v>
      </c>
      <c r="F222" t="s">
        <v>91</v>
      </c>
      <c r="G222" s="14">
        <v>37302.160000000003</v>
      </c>
      <c r="H222">
        <v>1495</v>
      </c>
      <c r="I222">
        <v>24.95</v>
      </c>
      <c r="J222">
        <v>37302.160000000003</v>
      </c>
    </row>
    <row r="223" spans="1:10" x14ac:dyDescent="0.25">
      <c r="A223" t="s">
        <v>2296</v>
      </c>
      <c r="B223" t="s">
        <v>88</v>
      </c>
      <c r="C223" s="1">
        <v>46198</v>
      </c>
      <c r="D223" t="s">
        <v>2300</v>
      </c>
      <c r="E223" t="s">
        <v>90</v>
      </c>
      <c r="F223" t="s">
        <v>91</v>
      </c>
      <c r="G223" s="14">
        <v>109940.37</v>
      </c>
      <c r="H223">
        <v>1495</v>
      </c>
      <c r="I223">
        <v>73.540000000000006</v>
      </c>
      <c r="J223">
        <v>133027.85999999999</v>
      </c>
    </row>
    <row r="224" spans="1:10" x14ac:dyDescent="0.25">
      <c r="A224" t="s">
        <v>2296</v>
      </c>
      <c r="B224" t="s">
        <v>88</v>
      </c>
      <c r="C224" s="1">
        <v>46198</v>
      </c>
      <c r="D224" t="s">
        <v>2300</v>
      </c>
      <c r="E224" t="s">
        <v>92</v>
      </c>
      <c r="F224" t="s">
        <v>91</v>
      </c>
      <c r="G224" s="14">
        <v>16972.09</v>
      </c>
      <c r="H224">
        <v>1495</v>
      </c>
      <c r="I224">
        <v>11.35</v>
      </c>
      <c r="J224">
        <v>16972.09</v>
      </c>
    </row>
    <row r="225" spans="1:10" x14ac:dyDescent="0.25">
      <c r="A225" t="s">
        <v>473</v>
      </c>
      <c r="B225" t="s">
        <v>530</v>
      </c>
      <c r="C225" s="1">
        <v>46198</v>
      </c>
      <c r="D225" t="s">
        <v>2324</v>
      </c>
      <c r="E225" t="s">
        <v>839</v>
      </c>
      <c r="F225" t="s">
        <v>945</v>
      </c>
      <c r="G225" s="14">
        <v>5342.15</v>
      </c>
      <c r="H225">
        <v>1495</v>
      </c>
      <c r="I225">
        <v>3.57</v>
      </c>
      <c r="J225">
        <v>6464</v>
      </c>
    </row>
    <row r="226" spans="1:10" x14ac:dyDescent="0.25">
      <c r="A226" t="s">
        <v>1413</v>
      </c>
      <c r="B226" t="s">
        <v>96</v>
      </c>
      <c r="C226" s="1">
        <v>46198</v>
      </c>
      <c r="D226" t="s">
        <v>2344</v>
      </c>
      <c r="E226" t="s">
        <v>1412</v>
      </c>
      <c r="F226" t="s">
        <v>69</v>
      </c>
      <c r="G226" s="14">
        <v>67871.11</v>
      </c>
      <c r="H226">
        <v>1495</v>
      </c>
      <c r="I226">
        <v>45.4</v>
      </c>
      <c r="J226">
        <v>67871.11</v>
      </c>
    </row>
    <row r="227" spans="1:10" x14ac:dyDescent="0.25">
      <c r="A227" t="s">
        <v>1413</v>
      </c>
      <c r="B227" t="s">
        <v>96</v>
      </c>
      <c r="C227" s="1">
        <v>46198</v>
      </c>
      <c r="D227" t="s">
        <v>2345</v>
      </c>
      <c r="E227" t="s">
        <v>1412</v>
      </c>
      <c r="F227" t="s">
        <v>69</v>
      </c>
      <c r="G227" s="14">
        <v>84150</v>
      </c>
      <c r="H227">
        <v>1495</v>
      </c>
      <c r="I227">
        <v>56.29</v>
      </c>
      <c r="J227">
        <v>84150</v>
      </c>
    </row>
    <row r="228" spans="1:10" x14ac:dyDescent="0.25">
      <c r="A228" t="s">
        <v>515</v>
      </c>
      <c r="B228" t="s">
        <v>88</v>
      </c>
      <c r="C228" s="1">
        <v>46198</v>
      </c>
      <c r="D228" t="s">
        <v>2353</v>
      </c>
      <c r="E228" t="s">
        <v>184</v>
      </c>
      <c r="F228" t="s">
        <v>69</v>
      </c>
      <c r="G228" s="14">
        <v>79057.5</v>
      </c>
      <c r="H228">
        <v>1495</v>
      </c>
      <c r="I228">
        <v>52.88</v>
      </c>
      <c r="J228">
        <v>95659.57</v>
      </c>
    </row>
    <row r="229" spans="1:10" x14ac:dyDescent="0.25">
      <c r="A229" t="s">
        <v>935</v>
      </c>
      <c r="B229" t="s">
        <v>88</v>
      </c>
      <c r="C229" s="1">
        <v>46198</v>
      </c>
      <c r="D229" t="s">
        <v>2429</v>
      </c>
      <c r="E229" t="s">
        <v>136</v>
      </c>
      <c r="F229" t="s">
        <v>65</v>
      </c>
      <c r="G229" s="14">
        <v>154451.97</v>
      </c>
      <c r="H229">
        <v>1495</v>
      </c>
      <c r="I229">
        <v>103.31</v>
      </c>
      <c r="J229">
        <v>186886.44</v>
      </c>
    </row>
    <row r="230" spans="1:10" x14ac:dyDescent="0.25">
      <c r="A230" t="s">
        <v>2251</v>
      </c>
      <c r="B230" t="s">
        <v>88</v>
      </c>
      <c r="C230" s="1">
        <v>46197</v>
      </c>
      <c r="D230" t="s">
        <v>2252</v>
      </c>
      <c r="E230" t="s">
        <v>2253</v>
      </c>
      <c r="F230" t="s">
        <v>1212</v>
      </c>
      <c r="G230" s="14">
        <v>13000</v>
      </c>
      <c r="H230">
        <v>1495</v>
      </c>
      <c r="I230">
        <v>8.6999999999999993</v>
      </c>
      <c r="J230">
        <v>13000</v>
      </c>
    </row>
    <row r="231" spans="1:10" x14ac:dyDescent="0.25">
      <c r="A231" t="s">
        <v>1632</v>
      </c>
      <c r="B231" t="s">
        <v>88</v>
      </c>
      <c r="C231" s="1">
        <v>46197</v>
      </c>
      <c r="D231" t="s">
        <v>2291</v>
      </c>
      <c r="E231" t="s">
        <v>136</v>
      </c>
      <c r="F231" t="s">
        <v>135</v>
      </c>
      <c r="G231" s="14">
        <v>349959.17</v>
      </c>
      <c r="H231">
        <v>1495</v>
      </c>
      <c r="I231">
        <v>234.09</v>
      </c>
      <c r="J231">
        <v>423450.6</v>
      </c>
    </row>
    <row r="232" spans="1:10" x14ac:dyDescent="0.25">
      <c r="A232" t="s">
        <v>1632</v>
      </c>
      <c r="B232" t="s">
        <v>88</v>
      </c>
      <c r="C232" s="1">
        <v>46197</v>
      </c>
      <c r="D232" t="s">
        <v>2291</v>
      </c>
      <c r="E232" t="s">
        <v>136</v>
      </c>
      <c r="F232" t="s">
        <v>65</v>
      </c>
      <c r="G232" s="14">
        <v>622149.63</v>
      </c>
      <c r="H232">
        <v>1495</v>
      </c>
      <c r="I232">
        <v>416.15</v>
      </c>
      <c r="J232">
        <v>752801.05</v>
      </c>
    </row>
    <row r="233" spans="1:10" x14ac:dyDescent="0.25">
      <c r="A233" t="s">
        <v>1263</v>
      </c>
      <c r="B233" t="s">
        <v>88</v>
      </c>
      <c r="C233" s="1">
        <v>46197</v>
      </c>
      <c r="D233" t="s">
        <v>2311</v>
      </c>
      <c r="E233" t="s">
        <v>102</v>
      </c>
      <c r="F233" t="s">
        <v>64</v>
      </c>
      <c r="G233" s="14">
        <v>52740</v>
      </c>
      <c r="H233">
        <v>1495</v>
      </c>
      <c r="I233">
        <v>35.28</v>
      </c>
      <c r="J233">
        <v>52740</v>
      </c>
    </row>
    <row r="234" spans="1:10" x14ac:dyDescent="0.25">
      <c r="A234" t="s">
        <v>497</v>
      </c>
      <c r="B234" t="s">
        <v>88</v>
      </c>
      <c r="C234" s="1">
        <v>46197</v>
      </c>
      <c r="D234" t="s">
        <v>2337</v>
      </c>
      <c r="E234" t="s">
        <v>136</v>
      </c>
      <c r="F234" t="s">
        <v>64</v>
      </c>
      <c r="G234" s="14">
        <v>40505.46</v>
      </c>
      <c r="H234">
        <v>1495</v>
      </c>
      <c r="I234">
        <v>27.09</v>
      </c>
      <c r="J234">
        <v>49011.61</v>
      </c>
    </row>
    <row r="235" spans="1:10" x14ac:dyDescent="0.25">
      <c r="A235" t="s">
        <v>884</v>
      </c>
      <c r="B235" t="s">
        <v>88</v>
      </c>
      <c r="C235" s="1">
        <v>46197</v>
      </c>
      <c r="D235" t="s">
        <v>2350</v>
      </c>
      <c r="E235" t="s">
        <v>136</v>
      </c>
      <c r="F235" t="s">
        <v>65</v>
      </c>
      <c r="G235" s="14">
        <v>1918533.5</v>
      </c>
      <c r="H235">
        <v>1495</v>
      </c>
      <c r="I235">
        <v>1283.3</v>
      </c>
      <c r="J235">
        <v>2321425.54</v>
      </c>
    </row>
    <row r="236" spans="1:10" x14ac:dyDescent="0.25">
      <c r="A236" t="s">
        <v>935</v>
      </c>
      <c r="B236" t="s">
        <v>88</v>
      </c>
      <c r="C236" s="1">
        <v>46197</v>
      </c>
      <c r="D236" t="s">
        <v>2428</v>
      </c>
      <c r="E236" t="s">
        <v>136</v>
      </c>
      <c r="F236" t="s">
        <v>65</v>
      </c>
      <c r="G236" s="14">
        <v>98796.51</v>
      </c>
      <c r="H236">
        <v>1495</v>
      </c>
      <c r="I236">
        <v>66.08</v>
      </c>
      <c r="J236">
        <v>119544.66</v>
      </c>
    </row>
    <row r="237" spans="1:10" x14ac:dyDescent="0.25">
      <c r="A237" t="s">
        <v>346</v>
      </c>
      <c r="B237" t="s">
        <v>88</v>
      </c>
      <c r="C237" s="1">
        <v>46196</v>
      </c>
      <c r="D237" t="s">
        <v>2284</v>
      </c>
      <c r="E237" t="s">
        <v>90</v>
      </c>
      <c r="F237" t="s">
        <v>91</v>
      </c>
      <c r="G237" s="14">
        <v>350324.06</v>
      </c>
      <c r="H237">
        <v>1490</v>
      </c>
      <c r="I237">
        <v>235.12</v>
      </c>
      <c r="J237">
        <v>423892.11</v>
      </c>
    </row>
    <row r="238" spans="1:10" x14ac:dyDescent="0.25">
      <c r="A238" t="s">
        <v>346</v>
      </c>
      <c r="B238" t="s">
        <v>88</v>
      </c>
      <c r="C238" s="1">
        <v>46196</v>
      </c>
      <c r="D238" t="s">
        <v>2284</v>
      </c>
      <c r="E238" t="s">
        <v>92</v>
      </c>
      <c r="F238" t="s">
        <v>91</v>
      </c>
      <c r="G238" s="14">
        <v>55043.88</v>
      </c>
      <c r="H238">
        <v>1490</v>
      </c>
      <c r="I238">
        <v>36.94</v>
      </c>
      <c r="J238">
        <v>55043.88</v>
      </c>
    </row>
    <row r="239" spans="1:10" x14ac:dyDescent="0.25">
      <c r="A239" t="s">
        <v>2048</v>
      </c>
      <c r="B239" t="s">
        <v>88</v>
      </c>
      <c r="C239" s="1">
        <v>46196</v>
      </c>
      <c r="D239" t="s">
        <v>2361</v>
      </c>
      <c r="E239" t="s">
        <v>184</v>
      </c>
      <c r="F239" t="s">
        <v>69</v>
      </c>
      <c r="G239" s="14">
        <v>23140.5</v>
      </c>
      <c r="H239">
        <v>1490</v>
      </c>
      <c r="I239">
        <v>15.53</v>
      </c>
      <c r="J239">
        <v>28000</v>
      </c>
    </row>
    <row r="240" spans="1:10" x14ac:dyDescent="0.25">
      <c r="A240" t="s">
        <v>426</v>
      </c>
      <c r="B240" t="s">
        <v>88</v>
      </c>
      <c r="C240" s="1">
        <v>46195</v>
      </c>
      <c r="D240" t="s">
        <v>2316</v>
      </c>
      <c r="E240" t="s">
        <v>136</v>
      </c>
      <c r="F240" t="s">
        <v>135</v>
      </c>
      <c r="G240" s="14">
        <v>2715105.86</v>
      </c>
      <c r="H240">
        <v>1481.79</v>
      </c>
      <c r="I240">
        <v>1832.31</v>
      </c>
      <c r="J240">
        <v>3285278.09</v>
      </c>
    </row>
    <row r="241" spans="1:10" x14ac:dyDescent="0.25">
      <c r="A241" t="s">
        <v>1413</v>
      </c>
      <c r="B241" t="s">
        <v>96</v>
      </c>
      <c r="C241" s="1">
        <v>46195</v>
      </c>
      <c r="D241" t="s">
        <v>2343</v>
      </c>
      <c r="E241" t="s">
        <v>1412</v>
      </c>
      <c r="F241" t="s">
        <v>69</v>
      </c>
      <c r="G241" s="14">
        <v>448800</v>
      </c>
      <c r="H241">
        <v>1481.79</v>
      </c>
      <c r="I241">
        <v>302.88</v>
      </c>
      <c r="J241">
        <v>448800</v>
      </c>
    </row>
    <row r="242" spans="1:10" x14ac:dyDescent="0.25">
      <c r="A242" t="s">
        <v>132</v>
      </c>
      <c r="B242" t="s">
        <v>88</v>
      </c>
      <c r="C242" s="1">
        <v>46192</v>
      </c>
      <c r="D242" t="s">
        <v>2241</v>
      </c>
      <c r="E242" t="s">
        <v>136</v>
      </c>
      <c r="F242" t="s">
        <v>69</v>
      </c>
      <c r="G242" s="14">
        <v>46781</v>
      </c>
      <c r="H242">
        <v>1481.94</v>
      </c>
      <c r="I242">
        <v>31.57</v>
      </c>
      <c r="J242">
        <v>56605.01</v>
      </c>
    </row>
    <row r="243" spans="1:10" x14ac:dyDescent="0.25">
      <c r="A243" t="s">
        <v>1047</v>
      </c>
      <c r="B243" t="s">
        <v>263</v>
      </c>
      <c r="C243" s="1">
        <v>46192</v>
      </c>
      <c r="D243" t="s">
        <v>2247</v>
      </c>
      <c r="E243" t="s">
        <v>1000</v>
      </c>
      <c r="F243" t="s">
        <v>69</v>
      </c>
      <c r="G243" s="14">
        <v>70640</v>
      </c>
      <c r="H243">
        <v>1481.94</v>
      </c>
      <c r="I243">
        <v>47.67</v>
      </c>
      <c r="J243">
        <v>70640</v>
      </c>
    </row>
    <row r="244" spans="1:10" x14ac:dyDescent="0.25">
      <c r="A244" t="s">
        <v>1263</v>
      </c>
      <c r="B244" t="s">
        <v>88</v>
      </c>
      <c r="C244" s="1">
        <v>46192</v>
      </c>
      <c r="D244" t="s">
        <v>2310</v>
      </c>
      <c r="E244" t="s">
        <v>102</v>
      </c>
      <c r="F244" t="s">
        <v>65</v>
      </c>
      <c r="G244" s="14">
        <v>113250</v>
      </c>
      <c r="H244">
        <v>1481.94</v>
      </c>
      <c r="I244">
        <v>76.42</v>
      </c>
      <c r="J244">
        <v>113250</v>
      </c>
    </row>
    <row r="245" spans="1:10" x14ac:dyDescent="0.25">
      <c r="A245" t="s">
        <v>426</v>
      </c>
      <c r="B245" t="s">
        <v>88</v>
      </c>
      <c r="C245" s="1">
        <v>46192</v>
      </c>
      <c r="D245" t="s">
        <v>2315</v>
      </c>
      <c r="E245" t="s">
        <v>136</v>
      </c>
      <c r="F245" t="s">
        <v>69</v>
      </c>
      <c r="G245" s="14">
        <v>961537.05</v>
      </c>
      <c r="H245">
        <v>1481.94</v>
      </c>
      <c r="I245">
        <v>648.84</v>
      </c>
      <c r="J245">
        <v>1163459.83</v>
      </c>
    </row>
    <row r="246" spans="1:10" x14ac:dyDescent="0.25">
      <c r="A246" t="s">
        <v>515</v>
      </c>
      <c r="B246" t="s">
        <v>88</v>
      </c>
      <c r="C246" s="1">
        <v>46192</v>
      </c>
      <c r="D246" t="s">
        <v>2352</v>
      </c>
      <c r="E246" t="s">
        <v>184</v>
      </c>
      <c r="F246" t="s">
        <v>64</v>
      </c>
      <c r="G246" s="14">
        <v>38592</v>
      </c>
      <c r="H246">
        <v>1481.94</v>
      </c>
      <c r="I246">
        <v>26.04</v>
      </c>
      <c r="J246">
        <v>46696.32</v>
      </c>
    </row>
    <row r="247" spans="1:10" x14ac:dyDescent="0.25">
      <c r="A247" t="s">
        <v>552</v>
      </c>
      <c r="B247" t="s">
        <v>88</v>
      </c>
      <c r="C247" s="1">
        <v>46192</v>
      </c>
      <c r="D247" t="s">
        <v>2366</v>
      </c>
      <c r="E247" t="s">
        <v>136</v>
      </c>
      <c r="F247" t="s">
        <v>65</v>
      </c>
      <c r="G247" s="14">
        <v>256581.92</v>
      </c>
      <c r="H247">
        <v>1481.94</v>
      </c>
      <c r="I247">
        <v>173.14</v>
      </c>
      <c r="J247">
        <v>310464.12</v>
      </c>
    </row>
    <row r="248" spans="1:10" x14ac:dyDescent="0.25">
      <c r="A248" t="s">
        <v>2296</v>
      </c>
      <c r="B248" t="s">
        <v>88</v>
      </c>
      <c r="C248" s="1">
        <v>46191</v>
      </c>
      <c r="D248" t="s">
        <v>2298</v>
      </c>
      <c r="E248" t="s">
        <v>90</v>
      </c>
      <c r="F248" t="s">
        <v>91</v>
      </c>
      <c r="G248" s="14">
        <v>73293.64</v>
      </c>
      <c r="H248">
        <v>1470.01</v>
      </c>
      <c r="I248">
        <v>49.86</v>
      </c>
      <c r="J248">
        <v>88685.31</v>
      </c>
    </row>
    <row r="249" spans="1:10" x14ac:dyDescent="0.25">
      <c r="A249" t="s">
        <v>2296</v>
      </c>
      <c r="B249" t="s">
        <v>88</v>
      </c>
      <c r="C249" s="1">
        <v>46191</v>
      </c>
      <c r="D249" t="s">
        <v>2298</v>
      </c>
      <c r="E249" t="s">
        <v>92</v>
      </c>
      <c r="F249" t="s">
        <v>91</v>
      </c>
      <c r="G249" s="14">
        <v>11314.73</v>
      </c>
      <c r="H249">
        <v>1470.01</v>
      </c>
      <c r="I249">
        <v>7.7</v>
      </c>
      <c r="J249">
        <v>11314.73</v>
      </c>
    </row>
    <row r="250" spans="1:10" x14ac:dyDescent="0.25">
      <c r="A250" t="s">
        <v>426</v>
      </c>
      <c r="B250" t="s">
        <v>88</v>
      </c>
      <c r="C250" s="1">
        <v>46191</v>
      </c>
      <c r="D250" t="s">
        <v>2314</v>
      </c>
      <c r="E250" t="s">
        <v>136</v>
      </c>
      <c r="F250" t="s">
        <v>64</v>
      </c>
      <c r="G250" s="14">
        <v>576231.44999999995</v>
      </c>
      <c r="H250">
        <v>1470.01</v>
      </c>
      <c r="I250">
        <v>391.99</v>
      </c>
      <c r="J250">
        <v>697240.05</v>
      </c>
    </row>
    <row r="251" spans="1:10" x14ac:dyDescent="0.25">
      <c r="A251" t="s">
        <v>2180</v>
      </c>
      <c r="B251" t="s">
        <v>88</v>
      </c>
      <c r="C251" s="1">
        <v>46191</v>
      </c>
      <c r="D251" t="s">
        <v>2333</v>
      </c>
      <c r="E251" t="s">
        <v>653</v>
      </c>
      <c r="F251" t="s">
        <v>64</v>
      </c>
      <c r="G251" s="14">
        <v>45000</v>
      </c>
      <c r="H251">
        <v>1470.01</v>
      </c>
      <c r="I251">
        <v>30.61</v>
      </c>
      <c r="J251">
        <v>54450</v>
      </c>
    </row>
    <row r="252" spans="1:10" x14ac:dyDescent="0.25">
      <c r="A252" t="s">
        <v>2340</v>
      </c>
      <c r="B252" t="s">
        <v>88</v>
      </c>
      <c r="C252" s="1">
        <v>46191</v>
      </c>
      <c r="D252" t="s">
        <v>2341</v>
      </c>
      <c r="E252" t="s">
        <v>136</v>
      </c>
      <c r="F252" t="s">
        <v>65</v>
      </c>
      <c r="G252" s="14">
        <v>788880.47</v>
      </c>
      <c r="H252">
        <v>1470.01</v>
      </c>
      <c r="I252">
        <v>536.65</v>
      </c>
      <c r="J252">
        <v>954545.37</v>
      </c>
    </row>
    <row r="253" spans="1:10" x14ac:dyDescent="0.25">
      <c r="A253" t="s">
        <v>132</v>
      </c>
      <c r="B253" t="s">
        <v>88</v>
      </c>
      <c r="C253" s="1">
        <v>46190</v>
      </c>
      <c r="D253" t="s">
        <v>2240</v>
      </c>
      <c r="E253" t="s">
        <v>136</v>
      </c>
      <c r="F253" t="s">
        <v>976</v>
      </c>
      <c r="G253" s="14">
        <v>103112.99</v>
      </c>
      <c r="H253">
        <v>1461.27</v>
      </c>
      <c r="I253">
        <v>70.56</v>
      </c>
      <c r="J253">
        <v>124766.72</v>
      </c>
    </row>
    <row r="254" spans="1:10" x14ac:dyDescent="0.25">
      <c r="A254" t="s">
        <v>2278</v>
      </c>
      <c r="B254" t="s">
        <v>88</v>
      </c>
      <c r="C254" s="1">
        <v>46190</v>
      </c>
      <c r="D254" t="s">
        <v>2279</v>
      </c>
      <c r="E254" t="s">
        <v>136</v>
      </c>
      <c r="F254" t="s">
        <v>69</v>
      </c>
      <c r="G254" s="14">
        <v>1009013.4</v>
      </c>
      <c r="H254">
        <v>1461.27</v>
      </c>
      <c r="I254">
        <v>690.5</v>
      </c>
      <c r="J254">
        <v>1220906.21</v>
      </c>
    </row>
    <row r="255" spans="1:10" x14ac:dyDescent="0.25">
      <c r="A255" t="s">
        <v>1898</v>
      </c>
      <c r="B255" t="s">
        <v>88</v>
      </c>
      <c r="C255" s="1">
        <v>46190</v>
      </c>
      <c r="D255" t="s">
        <v>2280</v>
      </c>
      <c r="E255" t="s">
        <v>329</v>
      </c>
      <c r="F255" t="s">
        <v>135</v>
      </c>
      <c r="G255" s="14">
        <v>59399</v>
      </c>
      <c r="H255">
        <v>1461.27</v>
      </c>
      <c r="I255">
        <v>40.65</v>
      </c>
      <c r="J255">
        <v>59399</v>
      </c>
    </row>
    <row r="256" spans="1:10" x14ac:dyDescent="0.25">
      <c r="A256" t="s">
        <v>2296</v>
      </c>
      <c r="B256" t="s">
        <v>88</v>
      </c>
      <c r="C256" s="1">
        <v>46190</v>
      </c>
      <c r="D256" t="s">
        <v>2297</v>
      </c>
      <c r="E256" t="s">
        <v>90</v>
      </c>
      <c r="F256" t="s">
        <v>91</v>
      </c>
      <c r="G256" s="14">
        <v>109949.87</v>
      </c>
      <c r="H256">
        <v>1461.27</v>
      </c>
      <c r="I256">
        <v>75.239999999999995</v>
      </c>
      <c r="J256">
        <v>133039.34</v>
      </c>
    </row>
    <row r="257" spans="1:10" x14ac:dyDescent="0.25">
      <c r="A257" t="s">
        <v>2296</v>
      </c>
      <c r="B257" t="s">
        <v>88</v>
      </c>
      <c r="C257" s="1">
        <v>46190</v>
      </c>
      <c r="D257" t="s">
        <v>2297</v>
      </c>
      <c r="E257" t="s">
        <v>92</v>
      </c>
      <c r="F257" t="s">
        <v>91</v>
      </c>
      <c r="G257" s="14">
        <v>16973.55</v>
      </c>
      <c r="H257">
        <v>1461.27</v>
      </c>
      <c r="I257">
        <v>11.62</v>
      </c>
      <c r="J257">
        <v>16973.55</v>
      </c>
    </row>
    <row r="258" spans="1:10" x14ac:dyDescent="0.25">
      <c r="A258" t="s">
        <v>400</v>
      </c>
      <c r="B258" t="s">
        <v>88</v>
      </c>
      <c r="C258" s="1">
        <v>46190</v>
      </c>
      <c r="D258" t="s">
        <v>2303</v>
      </c>
      <c r="E258" t="s">
        <v>184</v>
      </c>
      <c r="F258" t="s">
        <v>64</v>
      </c>
      <c r="G258" s="14">
        <v>54643.040000000001</v>
      </c>
      <c r="H258">
        <v>1461.27</v>
      </c>
      <c r="I258">
        <v>37.39</v>
      </c>
      <c r="J258">
        <v>66118.080000000002</v>
      </c>
    </row>
    <row r="259" spans="1:10" x14ac:dyDescent="0.25">
      <c r="A259" t="s">
        <v>400</v>
      </c>
      <c r="B259" t="s">
        <v>88</v>
      </c>
      <c r="C259" s="1">
        <v>46190</v>
      </c>
      <c r="D259" t="s">
        <v>2303</v>
      </c>
      <c r="E259" t="s">
        <v>184</v>
      </c>
      <c r="F259" t="s">
        <v>65</v>
      </c>
      <c r="G259" s="14">
        <v>725971.8</v>
      </c>
      <c r="H259">
        <v>1461.27</v>
      </c>
      <c r="I259">
        <v>496.81</v>
      </c>
      <c r="J259">
        <v>878425.88</v>
      </c>
    </row>
    <row r="260" spans="1:10" x14ac:dyDescent="0.25">
      <c r="A260" t="s">
        <v>400</v>
      </c>
      <c r="B260" t="s">
        <v>88</v>
      </c>
      <c r="C260" s="1">
        <v>46190</v>
      </c>
      <c r="D260" t="s">
        <v>2304</v>
      </c>
      <c r="E260" t="s">
        <v>184</v>
      </c>
      <c r="F260" t="s">
        <v>64</v>
      </c>
      <c r="G260" s="14">
        <v>30576</v>
      </c>
      <c r="H260">
        <v>1461.27</v>
      </c>
      <c r="I260">
        <v>20.92</v>
      </c>
      <c r="J260">
        <v>36996.959999999999</v>
      </c>
    </row>
    <row r="261" spans="1:10" x14ac:dyDescent="0.25">
      <c r="A261" t="s">
        <v>552</v>
      </c>
      <c r="B261" t="s">
        <v>88</v>
      </c>
      <c r="C261" s="1">
        <v>46190</v>
      </c>
      <c r="D261" t="s">
        <v>2365</v>
      </c>
      <c r="E261" t="s">
        <v>136</v>
      </c>
      <c r="F261" t="s">
        <v>69</v>
      </c>
      <c r="G261" s="14">
        <v>5032430.6900000004</v>
      </c>
      <c r="H261">
        <v>1461.27</v>
      </c>
      <c r="I261">
        <v>3443.87</v>
      </c>
      <c r="J261">
        <v>6089241.1299999999</v>
      </c>
    </row>
    <row r="262" spans="1:10" x14ac:dyDescent="0.25">
      <c r="A262" t="s">
        <v>125</v>
      </c>
      <c r="B262" t="s">
        <v>88</v>
      </c>
      <c r="C262" s="1">
        <v>46189</v>
      </c>
      <c r="D262" t="s">
        <v>2235</v>
      </c>
      <c r="E262" t="s">
        <v>114</v>
      </c>
      <c r="F262" t="s">
        <v>117</v>
      </c>
      <c r="G262" s="14">
        <v>4794.4799999999996</v>
      </c>
      <c r="H262">
        <v>1450</v>
      </c>
      <c r="I262">
        <v>3.31</v>
      </c>
      <c r="J262">
        <v>5801.32</v>
      </c>
    </row>
    <row r="263" spans="1:10" x14ac:dyDescent="0.25">
      <c r="A263" t="s">
        <v>125</v>
      </c>
      <c r="B263" t="s">
        <v>88</v>
      </c>
      <c r="C263" s="1">
        <v>46189</v>
      </c>
      <c r="D263" t="s">
        <v>2235</v>
      </c>
      <c r="E263" t="s">
        <v>127</v>
      </c>
      <c r="F263" t="s">
        <v>117</v>
      </c>
      <c r="G263" s="14">
        <v>479.47</v>
      </c>
      <c r="H263">
        <v>1450</v>
      </c>
      <c r="I263">
        <v>0.33</v>
      </c>
      <c r="J263">
        <v>479.47</v>
      </c>
    </row>
    <row r="264" spans="1:10" x14ac:dyDescent="0.25">
      <c r="A264" t="s">
        <v>1632</v>
      </c>
      <c r="B264" t="s">
        <v>88</v>
      </c>
      <c r="C264" s="1">
        <v>46189</v>
      </c>
      <c r="D264" t="s">
        <v>2290</v>
      </c>
      <c r="E264" t="s">
        <v>136</v>
      </c>
      <c r="F264" t="s">
        <v>65</v>
      </c>
      <c r="G264" s="14">
        <v>558748.80000000005</v>
      </c>
      <c r="H264">
        <v>1450</v>
      </c>
      <c r="I264">
        <v>385.34</v>
      </c>
      <c r="J264">
        <v>676086.05</v>
      </c>
    </row>
    <row r="265" spans="1:10" x14ac:dyDescent="0.25">
      <c r="A265" t="s">
        <v>1362</v>
      </c>
      <c r="B265" t="s">
        <v>88</v>
      </c>
      <c r="C265" s="1">
        <v>46189</v>
      </c>
      <c r="D265" t="s">
        <v>2325</v>
      </c>
      <c r="E265" t="s">
        <v>136</v>
      </c>
      <c r="F265" t="s">
        <v>69</v>
      </c>
      <c r="G265" s="14">
        <v>5325705</v>
      </c>
      <c r="H265">
        <v>1450</v>
      </c>
      <c r="I265">
        <v>3672.9</v>
      </c>
      <c r="J265">
        <v>6444103.0499999998</v>
      </c>
    </row>
    <row r="266" spans="1:10" x14ac:dyDescent="0.25">
      <c r="A266" t="s">
        <v>483</v>
      </c>
      <c r="B266" t="s">
        <v>88</v>
      </c>
      <c r="C266" s="1">
        <v>46189</v>
      </c>
      <c r="D266" t="s">
        <v>2327</v>
      </c>
      <c r="E266" t="s">
        <v>136</v>
      </c>
      <c r="F266" t="s">
        <v>64</v>
      </c>
      <c r="G266" s="14">
        <v>307650</v>
      </c>
      <c r="H266">
        <v>1450</v>
      </c>
      <c r="I266">
        <v>212.17</v>
      </c>
      <c r="J266">
        <v>372256.5</v>
      </c>
    </row>
    <row r="267" spans="1:10" x14ac:dyDescent="0.25">
      <c r="A267" t="s">
        <v>884</v>
      </c>
      <c r="B267" t="s">
        <v>88</v>
      </c>
      <c r="C267" s="1">
        <v>46189</v>
      </c>
      <c r="D267" t="s">
        <v>2349</v>
      </c>
      <c r="E267" t="s">
        <v>136</v>
      </c>
      <c r="F267" t="s">
        <v>65</v>
      </c>
      <c r="G267" s="14">
        <v>1041925.5</v>
      </c>
      <c r="H267">
        <v>1450</v>
      </c>
      <c r="I267">
        <v>718.57</v>
      </c>
      <c r="J267">
        <v>1260729.8600000001</v>
      </c>
    </row>
    <row r="268" spans="1:10" x14ac:dyDescent="0.25">
      <c r="A268" t="s">
        <v>552</v>
      </c>
      <c r="B268" t="s">
        <v>88</v>
      </c>
      <c r="C268" s="1">
        <v>46189</v>
      </c>
      <c r="D268" t="s">
        <v>2363</v>
      </c>
      <c r="E268" t="s">
        <v>136</v>
      </c>
      <c r="F268" t="s">
        <v>63</v>
      </c>
      <c r="G268" s="14">
        <v>1418462.97</v>
      </c>
      <c r="H268">
        <v>1450</v>
      </c>
      <c r="I268">
        <v>978.25</v>
      </c>
      <c r="J268">
        <v>1716340.2</v>
      </c>
    </row>
    <row r="269" spans="1:10" x14ac:dyDescent="0.25">
      <c r="A269" t="s">
        <v>246</v>
      </c>
      <c r="B269" t="s">
        <v>88</v>
      </c>
      <c r="C269" s="1">
        <v>46187</v>
      </c>
      <c r="D269" t="s">
        <v>2257</v>
      </c>
      <c r="E269" t="s">
        <v>114</v>
      </c>
      <c r="F269" t="s">
        <v>117</v>
      </c>
      <c r="G269" s="14">
        <v>2479.34</v>
      </c>
      <c r="H269">
        <v>1450</v>
      </c>
      <c r="I269">
        <v>1.71</v>
      </c>
      <c r="J269">
        <v>3000</v>
      </c>
    </row>
    <row r="270" spans="1:10" x14ac:dyDescent="0.25">
      <c r="A270" t="s">
        <v>246</v>
      </c>
      <c r="B270" t="s">
        <v>88</v>
      </c>
      <c r="C270" s="1">
        <v>46187</v>
      </c>
      <c r="D270" t="s">
        <v>2258</v>
      </c>
      <c r="E270" t="s">
        <v>114</v>
      </c>
      <c r="F270" t="s">
        <v>117</v>
      </c>
      <c r="G270" s="14">
        <v>14876.04</v>
      </c>
      <c r="H270">
        <v>1450</v>
      </c>
      <c r="I270">
        <v>10.26</v>
      </c>
      <c r="J270">
        <v>18000</v>
      </c>
    </row>
    <row r="271" spans="1:10" x14ac:dyDescent="0.25">
      <c r="A271" t="s">
        <v>504</v>
      </c>
      <c r="B271" t="s">
        <v>88</v>
      </c>
      <c r="C271" s="1">
        <v>46187</v>
      </c>
      <c r="D271" t="s">
        <v>2347</v>
      </c>
      <c r="E271" t="s">
        <v>506</v>
      </c>
      <c r="F271" t="s">
        <v>109</v>
      </c>
      <c r="G271" s="14">
        <v>299929</v>
      </c>
      <c r="H271">
        <v>1450</v>
      </c>
      <c r="I271">
        <v>206.85</v>
      </c>
      <c r="J271">
        <v>380909.83</v>
      </c>
    </row>
    <row r="272" spans="1:10" x14ac:dyDescent="0.25">
      <c r="A272" t="s">
        <v>504</v>
      </c>
      <c r="B272" t="s">
        <v>88</v>
      </c>
      <c r="C272" s="1">
        <v>46187</v>
      </c>
      <c r="D272" t="s">
        <v>2348</v>
      </c>
      <c r="E272" t="s">
        <v>423</v>
      </c>
      <c r="G272" s="14">
        <v>359.55</v>
      </c>
      <c r="H272">
        <v>1450</v>
      </c>
      <c r="I272">
        <v>0.25</v>
      </c>
      <c r="J272">
        <v>456.63</v>
      </c>
    </row>
    <row r="273" spans="1:10" x14ac:dyDescent="0.25">
      <c r="A273" t="s">
        <v>1730</v>
      </c>
      <c r="B273" t="s">
        <v>88</v>
      </c>
      <c r="C273" s="1">
        <v>46185</v>
      </c>
      <c r="D273" t="s">
        <v>2328</v>
      </c>
      <c r="E273" t="s">
        <v>329</v>
      </c>
      <c r="F273" t="s">
        <v>64</v>
      </c>
      <c r="G273" s="14">
        <v>1252702.78</v>
      </c>
      <c r="H273">
        <v>1450</v>
      </c>
      <c r="I273">
        <v>863.93</v>
      </c>
      <c r="J273">
        <v>1252702.78</v>
      </c>
    </row>
    <row r="274" spans="1:10" x14ac:dyDescent="0.25">
      <c r="A274" t="s">
        <v>2048</v>
      </c>
      <c r="B274" t="s">
        <v>88</v>
      </c>
      <c r="C274" s="1">
        <v>46183</v>
      </c>
      <c r="D274" t="s">
        <v>2360</v>
      </c>
      <c r="E274" t="s">
        <v>184</v>
      </c>
      <c r="F274" t="s">
        <v>64</v>
      </c>
      <c r="G274" s="14">
        <v>19834.71</v>
      </c>
      <c r="H274">
        <v>1455</v>
      </c>
      <c r="I274">
        <v>13.63</v>
      </c>
      <c r="J274">
        <v>24000</v>
      </c>
    </row>
    <row r="275" spans="1:10" x14ac:dyDescent="0.25">
      <c r="A275" t="s">
        <v>935</v>
      </c>
      <c r="B275" t="s">
        <v>88</v>
      </c>
      <c r="C275" s="1">
        <v>46182</v>
      </c>
      <c r="D275" t="s">
        <v>2231</v>
      </c>
      <c r="E275" t="s">
        <v>136</v>
      </c>
      <c r="F275" t="s">
        <v>65</v>
      </c>
      <c r="G275" s="14">
        <v>346465.68</v>
      </c>
      <c r="H275">
        <v>1460</v>
      </c>
      <c r="I275">
        <v>237.31</v>
      </c>
      <c r="J275">
        <v>419224.63</v>
      </c>
    </row>
    <row r="276" spans="1:10" x14ac:dyDescent="0.25">
      <c r="A276" t="s">
        <v>281</v>
      </c>
      <c r="B276" t="s">
        <v>88</v>
      </c>
      <c r="C276" s="1">
        <v>46182</v>
      </c>
      <c r="D276" t="s">
        <v>2272</v>
      </c>
      <c r="E276" t="s">
        <v>283</v>
      </c>
      <c r="F276" t="s">
        <v>109</v>
      </c>
      <c r="G276" s="14">
        <v>90892.57</v>
      </c>
      <c r="H276">
        <v>1460</v>
      </c>
      <c r="I276">
        <v>62.26</v>
      </c>
      <c r="J276">
        <v>109980.01</v>
      </c>
    </row>
    <row r="277" spans="1:10" x14ac:dyDescent="0.25">
      <c r="A277" t="s">
        <v>364</v>
      </c>
      <c r="B277" t="s">
        <v>88</v>
      </c>
      <c r="C277" s="1">
        <v>46182</v>
      </c>
      <c r="D277" t="s">
        <v>2289</v>
      </c>
      <c r="E277" t="s">
        <v>102</v>
      </c>
      <c r="F277" t="s">
        <v>109</v>
      </c>
      <c r="G277" s="14">
        <v>18000</v>
      </c>
      <c r="H277">
        <v>1460</v>
      </c>
      <c r="I277">
        <v>12.33</v>
      </c>
      <c r="J277">
        <v>18000</v>
      </c>
    </row>
    <row r="278" spans="1:10" x14ac:dyDescent="0.25">
      <c r="A278" t="s">
        <v>684</v>
      </c>
      <c r="B278" t="s">
        <v>88</v>
      </c>
      <c r="C278" s="1">
        <v>46181</v>
      </c>
      <c r="D278" t="s">
        <v>2271</v>
      </c>
      <c r="E278" t="s">
        <v>686</v>
      </c>
      <c r="F278" t="s">
        <v>1111</v>
      </c>
      <c r="G278" s="14">
        <v>140000</v>
      </c>
      <c r="H278">
        <v>1465</v>
      </c>
      <c r="I278">
        <v>95.56</v>
      </c>
      <c r="J278">
        <v>140000</v>
      </c>
    </row>
    <row r="279" spans="1:10" x14ac:dyDescent="0.25">
      <c r="A279" t="s">
        <v>2131</v>
      </c>
      <c r="B279" t="s">
        <v>88</v>
      </c>
      <c r="C279" s="1">
        <v>46181</v>
      </c>
      <c r="D279" t="s">
        <v>2275</v>
      </c>
      <c r="E279" t="s">
        <v>136</v>
      </c>
      <c r="F279" t="s">
        <v>64</v>
      </c>
      <c r="G279" s="14">
        <v>89334</v>
      </c>
      <c r="H279">
        <v>1465</v>
      </c>
      <c r="I279">
        <v>60.98</v>
      </c>
      <c r="J279">
        <v>108094.14</v>
      </c>
    </row>
    <row r="280" spans="1:10" x14ac:dyDescent="0.25">
      <c r="A280" t="s">
        <v>501</v>
      </c>
      <c r="B280" t="s">
        <v>88</v>
      </c>
      <c r="C280" s="1">
        <v>46181</v>
      </c>
      <c r="D280" t="s">
        <v>2339</v>
      </c>
      <c r="E280" t="s">
        <v>205</v>
      </c>
      <c r="F280" t="s">
        <v>109</v>
      </c>
      <c r="G280" s="14">
        <v>251030.28</v>
      </c>
      <c r="H280">
        <v>1465</v>
      </c>
      <c r="I280">
        <v>171.35</v>
      </c>
      <c r="J280">
        <v>303746.64</v>
      </c>
    </row>
    <row r="281" spans="1:10" x14ac:dyDescent="0.25">
      <c r="A281" t="s">
        <v>525</v>
      </c>
      <c r="B281" t="s">
        <v>88</v>
      </c>
      <c r="C281" s="1">
        <v>46181</v>
      </c>
      <c r="D281" t="s">
        <v>2356</v>
      </c>
      <c r="E281" t="s">
        <v>108</v>
      </c>
      <c r="F281" t="s">
        <v>109</v>
      </c>
      <c r="G281" s="14">
        <v>100000</v>
      </c>
      <c r="H281">
        <v>1465</v>
      </c>
      <c r="I281">
        <v>68.260000000000005</v>
      </c>
      <c r="J281">
        <v>100000</v>
      </c>
    </row>
    <row r="282" spans="1:10" x14ac:dyDescent="0.25">
      <c r="A282" t="s">
        <v>525</v>
      </c>
      <c r="B282" t="s">
        <v>88</v>
      </c>
      <c r="C282" s="1">
        <v>46181</v>
      </c>
      <c r="D282" t="s">
        <v>2357</v>
      </c>
      <c r="E282" t="s">
        <v>108</v>
      </c>
      <c r="F282" t="s">
        <v>109</v>
      </c>
      <c r="G282" s="14">
        <v>110000</v>
      </c>
      <c r="H282">
        <v>1465</v>
      </c>
      <c r="I282">
        <v>75.09</v>
      </c>
      <c r="J282">
        <v>110000</v>
      </c>
    </row>
    <row r="283" spans="1:10" x14ac:dyDescent="0.25">
      <c r="A283" t="s">
        <v>525</v>
      </c>
      <c r="B283" t="s">
        <v>279</v>
      </c>
      <c r="C283" s="1">
        <v>46181</v>
      </c>
      <c r="D283" t="s">
        <v>2358</v>
      </c>
      <c r="E283" t="s">
        <v>108</v>
      </c>
      <c r="F283" t="s">
        <v>109</v>
      </c>
      <c r="G283" s="14">
        <v>-53000</v>
      </c>
      <c r="H283">
        <v>1465</v>
      </c>
      <c r="I283">
        <v>-36.18</v>
      </c>
      <c r="J283">
        <v>-53000</v>
      </c>
    </row>
    <row r="284" spans="1:10" x14ac:dyDescent="0.25">
      <c r="A284" t="s">
        <v>2245</v>
      </c>
      <c r="B284" t="s">
        <v>88</v>
      </c>
      <c r="C284" s="1">
        <v>46180</v>
      </c>
      <c r="D284" t="s">
        <v>2246</v>
      </c>
      <c r="E284" t="s">
        <v>90</v>
      </c>
      <c r="F284" t="s">
        <v>91</v>
      </c>
      <c r="G284" s="14">
        <v>118119.41</v>
      </c>
      <c r="H284">
        <v>1460</v>
      </c>
      <c r="I284">
        <v>80.900000000000006</v>
      </c>
      <c r="J284">
        <v>142924.49</v>
      </c>
    </row>
    <row r="285" spans="1:10" x14ac:dyDescent="0.25">
      <c r="A285" t="s">
        <v>2245</v>
      </c>
      <c r="B285" t="s">
        <v>88</v>
      </c>
      <c r="C285" s="1">
        <v>46180</v>
      </c>
      <c r="D285" t="s">
        <v>2246</v>
      </c>
      <c r="E285" t="s">
        <v>92</v>
      </c>
      <c r="F285" t="s">
        <v>91</v>
      </c>
      <c r="G285" s="14">
        <v>19096.509999999998</v>
      </c>
      <c r="H285">
        <v>1460</v>
      </c>
      <c r="I285">
        <v>13.08</v>
      </c>
      <c r="J285">
        <v>19096.509999999998</v>
      </c>
    </row>
    <row r="286" spans="1:10" x14ac:dyDescent="0.25">
      <c r="A286" t="s">
        <v>1995</v>
      </c>
      <c r="B286" t="s">
        <v>88</v>
      </c>
      <c r="C286" s="1">
        <v>46180</v>
      </c>
      <c r="D286" t="s">
        <v>2334</v>
      </c>
      <c r="E286" t="s">
        <v>90</v>
      </c>
      <c r="F286" t="s">
        <v>91</v>
      </c>
      <c r="G286" s="14">
        <v>76043.69</v>
      </c>
      <c r="H286">
        <v>1460</v>
      </c>
      <c r="I286">
        <v>52.08</v>
      </c>
      <c r="J286">
        <v>92012.82</v>
      </c>
    </row>
    <row r="287" spans="1:10" x14ac:dyDescent="0.25">
      <c r="A287" t="s">
        <v>1995</v>
      </c>
      <c r="B287" t="s">
        <v>88</v>
      </c>
      <c r="C287" s="1">
        <v>46180</v>
      </c>
      <c r="D287" t="s">
        <v>2334</v>
      </c>
      <c r="E287" t="s">
        <v>92</v>
      </c>
      <c r="F287" t="s">
        <v>91</v>
      </c>
      <c r="G287" s="14">
        <v>16353.09</v>
      </c>
      <c r="H287">
        <v>1460</v>
      </c>
      <c r="I287">
        <v>11.2</v>
      </c>
      <c r="J287">
        <v>16353.09</v>
      </c>
    </row>
    <row r="288" spans="1:10" x14ac:dyDescent="0.25">
      <c r="A288" t="s">
        <v>132</v>
      </c>
      <c r="B288" t="s">
        <v>88</v>
      </c>
      <c r="C288" s="1">
        <v>46179</v>
      </c>
      <c r="D288" t="s">
        <v>2082</v>
      </c>
      <c r="E288" t="s">
        <v>136</v>
      </c>
      <c r="F288" t="s">
        <v>135</v>
      </c>
      <c r="G288" s="14">
        <v>9504.1299999999992</v>
      </c>
      <c r="H288">
        <v>1460</v>
      </c>
      <c r="I288">
        <v>6.51</v>
      </c>
      <c r="J288">
        <v>11500</v>
      </c>
    </row>
    <row r="289" spans="1:10" x14ac:dyDescent="0.25">
      <c r="A289" t="s">
        <v>2166</v>
      </c>
      <c r="B289" t="s">
        <v>88</v>
      </c>
      <c r="C289" s="1">
        <v>46179</v>
      </c>
      <c r="D289" t="s">
        <v>2169</v>
      </c>
      <c r="E289" t="s">
        <v>297</v>
      </c>
      <c r="F289" t="s">
        <v>65</v>
      </c>
      <c r="G289" s="14">
        <v>817236</v>
      </c>
      <c r="H289">
        <v>1460</v>
      </c>
      <c r="I289">
        <v>559.75</v>
      </c>
      <c r="J289">
        <v>988855.56</v>
      </c>
    </row>
    <row r="290" spans="1:10" x14ac:dyDescent="0.25">
      <c r="A290" t="s">
        <v>132</v>
      </c>
      <c r="B290" t="s">
        <v>88</v>
      </c>
      <c r="C290" s="1">
        <v>46178</v>
      </c>
      <c r="D290" t="s">
        <v>2081</v>
      </c>
      <c r="E290" t="s">
        <v>136</v>
      </c>
      <c r="F290" t="s">
        <v>135</v>
      </c>
      <c r="G290" s="14">
        <v>21003.85</v>
      </c>
      <c r="H290">
        <v>1460</v>
      </c>
      <c r="I290">
        <v>14.39</v>
      </c>
      <c r="J290">
        <v>25414.66</v>
      </c>
    </row>
    <row r="291" spans="1:10" x14ac:dyDescent="0.25">
      <c r="A291" t="s">
        <v>175</v>
      </c>
      <c r="B291" t="s">
        <v>88</v>
      </c>
      <c r="C291" s="1">
        <v>46178</v>
      </c>
      <c r="D291" t="s">
        <v>2092</v>
      </c>
      <c r="E291" t="s">
        <v>177</v>
      </c>
      <c r="F291" t="s">
        <v>109</v>
      </c>
      <c r="G291" s="14">
        <v>68740.92</v>
      </c>
      <c r="H291">
        <v>1460</v>
      </c>
      <c r="I291">
        <v>47.08</v>
      </c>
      <c r="J291">
        <v>87300.97</v>
      </c>
    </row>
    <row r="292" spans="1:10" x14ac:dyDescent="0.25">
      <c r="A292" t="s">
        <v>175</v>
      </c>
      <c r="B292" t="s">
        <v>88</v>
      </c>
      <c r="C292" s="1">
        <v>46178</v>
      </c>
      <c r="D292" t="s">
        <v>2092</v>
      </c>
      <c r="E292" t="s">
        <v>180</v>
      </c>
      <c r="F292" t="s">
        <v>109</v>
      </c>
      <c r="G292" s="14">
        <v>2619.58</v>
      </c>
      <c r="H292">
        <v>1460</v>
      </c>
      <c r="I292">
        <v>1.79</v>
      </c>
      <c r="J292">
        <v>2619.58</v>
      </c>
    </row>
    <row r="293" spans="1:10" x14ac:dyDescent="0.25">
      <c r="A293" t="s">
        <v>2110</v>
      </c>
      <c r="B293" t="s">
        <v>88</v>
      </c>
      <c r="C293" s="1">
        <v>46178</v>
      </c>
      <c r="D293" t="s">
        <v>2111</v>
      </c>
      <c r="E293" t="s">
        <v>184</v>
      </c>
      <c r="F293" t="s">
        <v>65</v>
      </c>
      <c r="G293" s="14">
        <v>200000</v>
      </c>
      <c r="H293">
        <v>1460</v>
      </c>
      <c r="I293">
        <v>136.99</v>
      </c>
      <c r="J293">
        <v>242000</v>
      </c>
    </row>
    <row r="294" spans="1:10" x14ac:dyDescent="0.25">
      <c r="A294" t="s">
        <v>272</v>
      </c>
      <c r="B294" t="s">
        <v>88</v>
      </c>
      <c r="C294" s="1">
        <v>46178</v>
      </c>
      <c r="D294" t="s">
        <v>2113</v>
      </c>
      <c r="E294" t="s">
        <v>274</v>
      </c>
      <c r="F294" t="s">
        <v>271</v>
      </c>
      <c r="G294" s="14">
        <v>7438.01</v>
      </c>
      <c r="H294">
        <v>1460</v>
      </c>
      <c r="I294">
        <v>5.09</v>
      </c>
      <c r="J294">
        <v>8999.99</v>
      </c>
    </row>
    <row r="295" spans="1:10" x14ac:dyDescent="0.25">
      <c r="A295" t="s">
        <v>319</v>
      </c>
      <c r="B295" t="s">
        <v>88</v>
      </c>
      <c r="C295" s="1">
        <v>46178</v>
      </c>
      <c r="D295" t="s">
        <v>2133</v>
      </c>
      <c r="E295" t="s">
        <v>274</v>
      </c>
      <c r="F295" t="s">
        <v>135</v>
      </c>
      <c r="G295" s="14">
        <v>175303.37</v>
      </c>
      <c r="H295">
        <v>1460</v>
      </c>
      <c r="I295">
        <v>120.07</v>
      </c>
      <c r="J295">
        <v>212117.08</v>
      </c>
    </row>
    <row r="296" spans="1:10" x14ac:dyDescent="0.25">
      <c r="A296" t="s">
        <v>346</v>
      </c>
      <c r="B296" t="s">
        <v>88</v>
      </c>
      <c r="C296" s="1">
        <v>46178</v>
      </c>
      <c r="D296" t="s">
        <v>2134</v>
      </c>
      <c r="E296" t="s">
        <v>90</v>
      </c>
      <c r="F296" t="s">
        <v>91</v>
      </c>
      <c r="G296" s="14">
        <v>146463.85999999999</v>
      </c>
      <c r="H296">
        <v>1460</v>
      </c>
      <c r="I296">
        <v>100.32</v>
      </c>
      <c r="J296">
        <v>177221.27</v>
      </c>
    </row>
    <row r="297" spans="1:10" x14ac:dyDescent="0.25">
      <c r="A297" t="s">
        <v>346</v>
      </c>
      <c r="B297" t="s">
        <v>88</v>
      </c>
      <c r="C297" s="1">
        <v>46178</v>
      </c>
      <c r="D297" t="s">
        <v>2134</v>
      </c>
      <c r="E297" t="s">
        <v>92</v>
      </c>
      <c r="F297" t="s">
        <v>91</v>
      </c>
      <c r="G297" s="14">
        <v>22795.37</v>
      </c>
      <c r="H297">
        <v>1460</v>
      </c>
      <c r="I297">
        <v>15.61</v>
      </c>
      <c r="J297">
        <v>22795.37</v>
      </c>
    </row>
    <row r="298" spans="1:10" x14ac:dyDescent="0.25">
      <c r="A298" t="s">
        <v>2115</v>
      </c>
      <c r="B298" t="s">
        <v>88</v>
      </c>
      <c r="C298" s="1">
        <v>46177</v>
      </c>
      <c r="D298" t="s">
        <v>2116</v>
      </c>
      <c r="E298" t="s">
        <v>90</v>
      </c>
      <c r="F298" t="s">
        <v>91</v>
      </c>
      <c r="G298" s="14">
        <v>61926.879999999997</v>
      </c>
      <c r="H298">
        <v>1455</v>
      </c>
      <c r="I298">
        <v>42.56</v>
      </c>
      <c r="J298">
        <v>74931.520000000004</v>
      </c>
    </row>
    <row r="299" spans="1:10" x14ac:dyDescent="0.25">
      <c r="A299" t="s">
        <v>2115</v>
      </c>
      <c r="B299" t="s">
        <v>88</v>
      </c>
      <c r="C299" s="1">
        <v>46177</v>
      </c>
      <c r="D299" t="s">
        <v>2116</v>
      </c>
      <c r="E299" t="s">
        <v>92</v>
      </c>
      <c r="F299" t="s">
        <v>91</v>
      </c>
      <c r="G299" s="14">
        <v>13078.09</v>
      </c>
      <c r="H299">
        <v>1455</v>
      </c>
      <c r="I299">
        <v>8.99</v>
      </c>
      <c r="J299">
        <v>13078.09</v>
      </c>
    </row>
    <row r="300" spans="1:10" x14ac:dyDescent="0.25">
      <c r="A300" t="s">
        <v>1251</v>
      </c>
      <c r="B300" t="s">
        <v>88</v>
      </c>
      <c r="C300" s="1">
        <v>46177</v>
      </c>
      <c r="D300" t="s">
        <v>2157</v>
      </c>
      <c r="E300" t="s">
        <v>136</v>
      </c>
      <c r="F300" t="s">
        <v>64</v>
      </c>
      <c r="G300" s="14">
        <v>1896642.55</v>
      </c>
      <c r="H300">
        <v>1455</v>
      </c>
      <c r="I300">
        <v>1303.53</v>
      </c>
      <c r="J300">
        <v>2294937.4900000002</v>
      </c>
    </row>
    <row r="301" spans="1:10" x14ac:dyDescent="0.25">
      <c r="A301" t="s">
        <v>504</v>
      </c>
      <c r="B301" t="s">
        <v>88</v>
      </c>
      <c r="C301" s="1">
        <v>46176</v>
      </c>
      <c r="D301" t="s">
        <v>2200</v>
      </c>
      <c r="E301" t="s">
        <v>422</v>
      </c>
      <c r="F301" t="s">
        <v>109</v>
      </c>
      <c r="G301" s="14">
        <v>64105</v>
      </c>
      <c r="H301">
        <v>1460</v>
      </c>
      <c r="I301">
        <v>43.91</v>
      </c>
      <c r="J301">
        <v>77567.05</v>
      </c>
    </row>
    <row r="302" spans="1:10" x14ac:dyDescent="0.25">
      <c r="A302" t="s">
        <v>149</v>
      </c>
      <c r="B302" t="s">
        <v>279</v>
      </c>
      <c r="C302" s="1">
        <v>46175</v>
      </c>
      <c r="D302" t="s">
        <v>2085</v>
      </c>
      <c r="E302" t="s">
        <v>610</v>
      </c>
      <c r="F302" t="s">
        <v>8</v>
      </c>
      <c r="G302" s="14">
        <v>-44086.9</v>
      </c>
      <c r="H302">
        <v>1450</v>
      </c>
      <c r="I302">
        <v>-30.4</v>
      </c>
      <c r="J302">
        <v>-53339</v>
      </c>
    </row>
    <row r="303" spans="1:10" x14ac:dyDescent="0.25">
      <c r="A303" t="s">
        <v>149</v>
      </c>
      <c r="B303" t="s">
        <v>279</v>
      </c>
      <c r="C303" s="1">
        <v>46175</v>
      </c>
      <c r="D303" t="s">
        <v>2085</v>
      </c>
      <c r="E303" t="s">
        <v>611</v>
      </c>
      <c r="F303" t="s">
        <v>8</v>
      </c>
      <c r="G303" s="14">
        <v>-1129.7</v>
      </c>
      <c r="H303">
        <v>1450</v>
      </c>
      <c r="I303">
        <v>-0.78</v>
      </c>
      <c r="J303">
        <v>-1129.7</v>
      </c>
    </row>
    <row r="304" spans="1:10" x14ac:dyDescent="0.25">
      <c r="A304" t="s">
        <v>272</v>
      </c>
      <c r="B304" t="s">
        <v>88</v>
      </c>
      <c r="C304" s="1">
        <v>46175</v>
      </c>
      <c r="D304" t="s">
        <v>2112</v>
      </c>
      <c r="E304" t="s">
        <v>1297</v>
      </c>
      <c r="F304" t="s">
        <v>271</v>
      </c>
      <c r="G304" s="14">
        <v>22352.95</v>
      </c>
      <c r="H304">
        <v>1450</v>
      </c>
      <c r="I304">
        <v>15.42</v>
      </c>
      <c r="J304">
        <v>24699.98</v>
      </c>
    </row>
    <row r="305" spans="1:10" x14ac:dyDescent="0.25">
      <c r="A305" t="s">
        <v>272</v>
      </c>
      <c r="B305" t="s">
        <v>88</v>
      </c>
      <c r="C305" s="1">
        <v>46175</v>
      </c>
      <c r="D305" t="s">
        <v>2112</v>
      </c>
      <c r="E305" t="s">
        <v>274</v>
      </c>
      <c r="F305" t="s">
        <v>271</v>
      </c>
      <c r="G305" s="14">
        <v>16115.72</v>
      </c>
      <c r="H305">
        <v>1450</v>
      </c>
      <c r="I305">
        <v>11.11</v>
      </c>
      <c r="J305">
        <v>19500.02</v>
      </c>
    </row>
    <row r="306" spans="1:10" x14ac:dyDescent="0.25">
      <c r="A306" t="s">
        <v>298</v>
      </c>
      <c r="B306" t="s">
        <v>88</v>
      </c>
      <c r="C306" s="1">
        <v>46175</v>
      </c>
      <c r="D306" t="s">
        <v>2125</v>
      </c>
      <c r="E306" t="s">
        <v>205</v>
      </c>
      <c r="F306" t="s">
        <v>109</v>
      </c>
      <c r="G306" s="14">
        <v>60000</v>
      </c>
      <c r="H306">
        <v>1450</v>
      </c>
      <c r="I306">
        <v>41.38</v>
      </c>
      <c r="J306">
        <v>72600</v>
      </c>
    </row>
    <row r="307" spans="1:10" x14ac:dyDescent="0.25">
      <c r="A307" t="s">
        <v>367</v>
      </c>
      <c r="B307" t="s">
        <v>88</v>
      </c>
      <c r="C307" s="1">
        <v>46175</v>
      </c>
      <c r="D307" t="s">
        <v>2145</v>
      </c>
      <c r="E307" t="s">
        <v>215</v>
      </c>
      <c r="F307" t="s">
        <v>109</v>
      </c>
      <c r="G307" s="14">
        <v>63470.58</v>
      </c>
      <c r="H307">
        <v>1450</v>
      </c>
      <c r="I307">
        <v>43.77</v>
      </c>
      <c r="J307">
        <v>76799.399999999994</v>
      </c>
    </row>
    <row r="308" spans="1:10" x14ac:dyDescent="0.25">
      <c r="A308" t="s">
        <v>453</v>
      </c>
      <c r="B308" t="s">
        <v>88</v>
      </c>
      <c r="C308" s="1">
        <v>46175</v>
      </c>
      <c r="D308" t="s">
        <v>2164</v>
      </c>
      <c r="E308" t="s">
        <v>136</v>
      </c>
      <c r="F308" t="s">
        <v>65</v>
      </c>
      <c r="G308" s="14">
        <v>235433</v>
      </c>
      <c r="H308">
        <v>1450</v>
      </c>
      <c r="I308">
        <v>162.37</v>
      </c>
      <c r="J308">
        <v>284873.93</v>
      </c>
    </row>
    <row r="309" spans="1:10" x14ac:dyDescent="0.25">
      <c r="A309" t="s">
        <v>2166</v>
      </c>
      <c r="B309" t="s">
        <v>88</v>
      </c>
      <c r="C309" s="1">
        <v>46175</v>
      </c>
      <c r="D309" t="s">
        <v>2167</v>
      </c>
      <c r="E309" t="s">
        <v>297</v>
      </c>
      <c r="F309" t="s">
        <v>65</v>
      </c>
      <c r="G309" s="14">
        <v>239700</v>
      </c>
      <c r="H309">
        <v>1450</v>
      </c>
      <c r="I309">
        <v>165.31</v>
      </c>
      <c r="J309">
        <v>290037</v>
      </c>
    </row>
    <row r="310" spans="1:10" x14ac:dyDescent="0.25">
      <c r="A310" t="s">
        <v>2166</v>
      </c>
      <c r="B310" t="s">
        <v>88</v>
      </c>
      <c r="C310" s="1">
        <v>46175</v>
      </c>
      <c r="D310" t="s">
        <v>2167</v>
      </c>
      <c r="E310" t="s">
        <v>529</v>
      </c>
      <c r="F310" t="s">
        <v>65</v>
      </c>
      <c r="G310" s="14">
        <v>451200</v>
      </c>
      <c r="H310">
        <v>1450</v>
      </c>
      <c r="I310">
        <v>311.17</v>
      </c>
      <c r="J310">
        <v>545952</v>
      </c>
    </row>
    <row r="311" spans="1:10" x14ac:dyDescent="0.25">
      <c r="A311" t="s">
        <v>2166</v>
      </c>
      <c r="B311" t="s">
        <v>88</v>
      </c>
      <c r="C311" s="1">
        <v>46175</v>
      </c>
      <c r="D311" t="s">
        <v>2168</v>
      </c>
      <c r="E311" t="s">
        <v>84</v>
      </c>
      <c r="F311" t="s">
        <v>65</v>
      </c>
      <c r="G311" s="14">
        <v>295500.83</v>
      </c>
      <c r="H311">
        <v>1450</v>
      </c>
      <c r="I311">
        <v>203.79</v>
      </c>
      <c r="J311">
        <v>295500.83</v>
      </c>
    </row>
    <row r="312" spans="1:10" x14ac:dyDescent="0.25">
      <c r="A312" t="s">
        <v>1362</v>
      </c>
      <c r="B312" t="s">
        <v>470</v>
      </c>
      <c r="C312" s="1">
        <v>46175</v>
      </c>
      <c r="D312" t="s">
        <v>2177</v>
      </c>
      <c r="E312" t="s">
        <v>944</v>
      </c>
      <c r="F312" t="s">
        <v>945</v>
      </c>
      <c r="G312" s="14">
        <v>51695.85</v>
      </c>
      <c r="H312">
        <v>1450</v>
      </c>
      <c r="I312">
        <v>35.65</v>
      </c>
      <c r="J312">
        <v>62551.98</v>
      </c>
    </row>
    <row r="313" spans="1:10" x14ac:dyDescent="0.25">
      <c r="A313" t="s">
        <v>884</v>
      </c>
      <c r="B313" t="s">
        <v>88</v>
      </c>
      <c r="C313" s="1">
        <v>46175</v>
      </c>
      <c r="D313" t="s">
        <v>2204</v>
      </c>
      <c r="E313" t="s">
        <v>136</v>
      </c>
      <c r="F313" t="s">
        <v>64</v>
      </c>
      <c r="G313" s="14">
        <v>6704267.8499999996</v>
      </c>
      <c r="H313">
        <v>1450</v>
      </c>
      <c r="I313">
        <v>4623.63</v>
      </c>
      <c r="J313">
        <v>8112164.0999999996</v>
      </c>
    </row>
    <row r="314" spans="1:10" x14ac:dyDescent="0.25">
      <c r="A314" t="s">
        <v>884</v>
      </c>
      <c r="B314" t="s">
        <v>88</v>
      </c>
      <c r="C314" s="1">
        <v>46175</v>
      </c>
      <c r="D314" t="s">
        <v>2204</v>
      </c>
      <c r="E314" t="s">
        <v>136</v>
      </c>
      <c r="F314" t="s">
        <v>65</v>
      </c>
      <c r="G314" s="14">
        <v>1782147.15</v>
      </c>
      <c r="H314">
        <v>1450</v>
      </c>
      <c r="I314">
        <v>1229.07</v>
      </c>
      <c r="J314">
        <v>2156398.0499999998</v>
      </c>
    </row>
    <row r="315" spans="1:10" x14ac:dyDescent="0.25">
      <c r="A315" t="s">
        <v>106</v>
      </c>
      <c r="B315" t="s">
        <v>88</v>
      </c>
      <c r="C315" s="1">
        <v>46174</v>
      </c>
      <c r="D315" t="s">
        <v>2078</v>
      </c>
      <c r="E315" t="s">
        <v>102</v>
      </c>
      <c r="F315" t="s">
        <v>109</v>
      </c>
      <c r="G315" s="14">
        <v>61295</v>
      </c>
      <c r="H315">
        <v>1445</v>
      </c>
      <c r="I315">
        <v>42.42</v>
      </c>
      <c r="J315">
        <v>61295</v>
      </c>
    </row>
    <row r="316" spans="1:10" x14ac:dyDescent="0.25">
      <c r="A316" t="s">
        <v>607</v>
      </c>
      <c r="B316" t="s">
        <v>88</v>
      </c>
      <c r="C316" s="1">
        <v>46174</v>
      </c>
      <c r="D316" t="s">
        <v>2083</v>
      </c>
      <c r="E316" t="s">
        <v>136</v>
      </c>
      <c r="F316" t="s">
        <v>31</v>
      </c>
      <c r="G316" s="14">
        <v>260926.05</v>
      </c>
      <c r="H316">
        <v>1445</v>
      </c>
      <c r="I316">
        <v>180.57</v>
      </c>
      <c r="J316">
        <v>315714.34999999998</v>
      </c>
    </row>
    <row r="317" spans="1:10" x14ac:dyDescent="0.25">
      <c r="A317" t="s">
        <v>149</v>
      </c>
      <c r="B317" t="s">
        <v>88</v>
      </c>
      <c r="C317" s="1">
        <v>46174</v>
      </c>
      <c r="D317" t="s">
        <v>2084</v>
      </c>
      <c r="E317" t="s">
        <v>610</v>
      </c>
      <c r="F317" t="s">
        <v>8</v>
      </c>
      <c r="G317" s="14">
        <v>44086.9</v>
      </c>
      <c r="H317">
        <v>1445</v>
      </c>
      <c r="I317">
        <v>30.51</v>
      </c>
      <c r="J317">
        <v>53339</v>
      </c>
    </row>
    <row r="318" spans="1:10" x14ac:dyDescent="0.25">
      <c r="A318" t="s">
        <v>149</v>
      </c>
      <c r="B318" t="s">
        <v>88</v>
      </c>
      <c r="C318" s="1">
        <v>46174</v>
      </c>
      <c r="D318" t="s">
        <v>2084</v>
      </c>
      <c r="E318" t="s">
        <v>611</v>
      </c>
      <c r="F318" t="s">
        <v>8</v>
      </c>
      <c r="G318" s="14">
        <v>1129.7</v>
      </c>
      <c r="H318">
        <v>1445</v>
      </c>
      <c r="I318">
        <v>0.78</v>
      </c>
      <c r="J318">
        <v>1129.7</v>
      </c>
    </row>
    <row r="319" spans="1:10" x14ac:dyDescent="0.25">
      <c r="A319" t="s">
        <v>265</v>
      </c>
      <c r="B319" t="s">
        <v>88</v>
      </c>
      <c r="C319" s="1">
        <v>46174</v>
      </c>
      <c r="D319" t="s">
        <v>2109</v>
      </c>
      <c r="E319" t="s">
        <v>267</v>
      </c>
      <c r="F319" t="s">
        <v>109</v>
      </c>
      <c r="G319" s="14">
        <v>78400</v>
      </c>
      <c r="H319">
        <v>1445</v>
      </c>
      <c r="I319">
        <v>54.26</v>
      </c>
      <c r="J319">
        <v>94864</v>
      </c>
    </row>
    <row r="320" spans="1:10" x14ac:dyDescent="0.25">
      <c r="A320" t="s">
        <v>275</v>
      </c>
      <c r="B320" t="s">
        <v>82</v>
      </c>
      <c r="C320" s="1">
        <v>46174</v>
      </c>
      <c r="D320" t="s">
        <v>2114</v>
      </c>
      <c r="E320" t="s">
        <v>90</v>
      </c>
      <c r="F320" t="s">
        <v>91</v>
      </c>
      <c r="G320" s="14">
        <v>865094.17</v>
      </c>
      <c r="H320">
        <v>1445</v>
      </c>
      <c r="I320">
        <v>598.67999999999995</v>
      </c>
      <c r="J320">
        <v>1046763.94</v>
      </c>
    </row>
    <row r="321" spans="1:10" x14ac:dyDescent="0.25">
      <c r="A321" t="s">
        <v>275</v>
      </c>
      <c r="B321" t="s">
        <v>82</v>
      </c>
      <c r="C321" s="1">
        <v>46174</v>
      </c>
      <c r="D321" t="s">
        <v>2114</v>
      </c>
      <c r="E321" t="s">
        <v>92</v>
      </c>
      <c r="F321" t="s">
        <v>91</v>
      </c>
      <c r="G321" s="14">
        <v>148583.56</v>
      </c>
      <c r="H321">
        <v>1445</v>
      </c>
      <c r="I321">
        <v>102.83</v>
      </c>
      <c r="J321">
        <v>148583.56</v>
      </c>
    </row>
    <row r="322" spans="1:10" x14ac:dyDescent="0.25">
      <c r="A322" t="s">
        <v>287</v>
      </c>
      <c r="B322" t="s">
        <v>88</v>
      </c>
      <c r="C322" s="1">
        <v>46174</v>
      </c>
      <c r="D322" t="s">
        <v>2117</v>
      </c>
      <c r="E322" t="s">
        <v>297</v>
      </c>
      <c r="F322" t="s">
        <v>65</v>
      </c>
      <c r="G322" s="14">
        <v>185900</v>
      </c>
      <c r="H322">
        <v>1445</v>
      </c>
      <c r="I322">
        <v>128.65</v>
      </c>
      <c r="J322">
        <v>224939</v>
      </c>
    </row>
    <row r="323" spans="1:10" x14ac:dyDescent="0.25">
      <c r="A323" t="s">
        <v>1914</v>
      </c>
      <c r="B323" t="s">
        <v>88</v>
      </c>
      <c r="C323" s="1">
        <v>46174</v>
      </c>
      <c r="D323" t="s">
        <v>2146</v>
      </c>
      <c r="E323" t="s">
        <v>610</v>
      </c>
      <c r="F323" t="s">
        <v>475</v>
      </c>
      <c r="G323" s="14">
        <v>80938</v>
      </c>
      <c r="H323">
        <v>1445</v>
      </c>
      <c r="I323">
        <v>56.01</v>
      </c>
      <c r="J323">
        <v>97940.7</v>
      </c>
    </row>
    <row r="324" spans="1:10" x14ac:dyDescent="0.25">
      <c r="A324" t="s">
        <v>1914</v>
      </c>
      <c r="B324" t="s">
        <v>88</v>
      </c>
      <c r="C324" s="1">
        <v>46174</v>
      </c>
      <c r="D324" t="s">
        <v>2146</v>
      </c>
      <c r="E324" t="s">
        <v>611</v>
      </c>
      <c r="F324" t="s">
        <v>475</v>
      </c>
      <c r="G324" s="14">
        <v>2059.1999999999998</v>
      </c>
      <c r="H324">
        <v>1445</v>
      </c>
      <c r="I324">
        <v>1.43</v>
      </c>
      <c r="J324">
        <v>2059.1999999999998</v>
      </c>
    </row>
    <row r="325" spans="1:10" x14ac:dyDescent="0.25">
      <c r="A325" t="s">
        <v>1914</v>
      </c>
      <c r="B325" t="s">
        <v>88</v>
      </c>
      <c r="C325" s="1">
        <v>46174</v>
      </c>
      <c r="D325" t="s">
        <v>2147</v>
      </c>
      <c r="E325" t="s">
        <v>610</v>
      </c>
      <c r="F325" t="s">
        <v>475</v>
      </c>
      <c r="G325" s="14">
        <v>127169.9</v>
      </c>
      <c r="H325">
        <v>1445</v>
      </c>
      <c r="I325">
        <v>88.01</v>
      </c>
      <c r="J325">
        <v>153882.29999999999</v>
      </c>
    </row>
    <row r="326" spans="1:10" x14ac:dyDescent="0.25">
      <c r="A326" t="s">
        <v>1914</v>
      </c>
      <c r="B326" t="s">
        <v>88</v>
      </c>
      <c r="C326" s="1">
        <v>46174</v>
      </c>
      <c r="D326" t="s">
        <v>2147</v>
      </c>
      <c r="E326" t="s">
        <v>611</v>
      </c>
      <c r="F326" t="s">
        <v>475</v>
      </c>
      <c r="G326" s="14">
        <v>3231.8</v>
      </c>
      <c r="H326">
        <v>1445</v>
      </c>
      <c r="I326">
        <v>2.2400000000000002</v>
      </c>
      <c r="J326">
        <v>3231.8</v>
      </c>
    </row>
    <row r="327" spans="1:10" x14ac:dyDescent="0.25">
      <c r="A327" t="s">
        <v>2150</v>
      </c>
      <c r="B327" t="s">
        <v>88</v>
      </c>
      <c r="C327" s="1">
        <v>46174</v>
      </c>
      <c r="D327" t="s">
        <v>2151</v>
      </c>
      <c r="E327" t="s">
        <v>297</v>
      </c>
      <c r="F327" t="s">
        <v>65</v>
      </c>
      <c r="G327" s="14">
        <v>32641.5</v>
      </c>
      <c r="H327">
        <v>1445</v>
      </c>
      <c r="I327">
        <v>22.59</v>
      </c>
      <c r="J327">
        <v>39496.22</v>
      </c>
    </row>
    <row r="328" spans="1:10" x14ac:dyDescent="0.25">
      <c r="A328" t="s">
        <v>1251</v>
      </c>
      <c r="B328" t="s">
        <v>88</v>
      </c>
      <c r="C328" s="1">
        <v>46174</v>
      </c>
      <c r="D328" t="s">
        <v>2156</v>
      </c>
      <c r="E328" t="s">
        <v>136</v>
      </c>
      <c r="F328" t="s">
        <v>64</v>
      </c>
      <c r="G328" s="14">
        <v>1158900.6000000001</v>
      </c>
      <c r="H328">
        <v>1445</v>
      </c>
      <c r="I328">
        <v>802.01</v>
      </c>
      <c r="J328">
        <v>1402272.3</v>
      </c>
    </row>
    <row r="329" spans="1:10" x14ac:dyDescent="0.25">
      <c r="A329" t="s">
        <v>1706</v>
      </c>
      <c r="B329" t="s">
        <v>88</v>
      </c>
      <c r="C329" s="1">
        <v>46174</v>
      </c>
      <c r="D329" t="s">
        <v>2170</v>
      </c>
      <c r="E329" t="s">
        <v>1708</v>
      </c>
      <c r="F329" t="s">
        <v>109</v>
      </c>
      <c r="G329" s="14">
        <v>199542.55</v>
      </c>
      <c r="H329">
        <v>1445</v>
      </c>
      <c r="I329">
        <v>138.09</v>
      </c>
      <c r="J329">
        <v>241446.49</v>
      </c>
    </row>
    <row r="330" spans="1:10" x14ac:dyDescent="0.25">
      <c r="A330" t="s">
        <v>478</v>
      </c>
      <c r="B330" t="s">
        <v>88</v>
      </c>
      <c r="C330" s="1">
        <v>46174</v>
      </c>
      <c r="D330" t="s">
        <v>2176</v>
      </c>
      <c r="E330" t="s">
        <v>267</v>
      </c>
      <c r="F330" t="s">
        <v>109</v>
      </c>
      <c r="G330" s="14">
        <v>20471.07</v>
      </c>
      <c r="H330">
        <v>1445</v>
      </c>
      <c r="I330">
        <v>14.17</v>
      </c>
      <c r="J330">
        <v>24770</v>
      </c>
    </row>
    <row r="331" spans="1:10" x14ac:dyDescent="0.25">
      <c r="A331" t="s">
        <v>515</v>
      </c>
      <c r="B331" t="s">
        <v>88</v>
      </c>
      <c r="C331" s="1">
        <v>46174</v>
      </c>
      <c r="D331" t="s">
        <v>2205</v>
      </c>
      <c r="E331" t="s">
        <v>184</v>
      </c>
      <c r="F331" t="s">
        <v>65</v>
      </c>
      <c r="G331" s="14">
        <v>31203</v>
      </c>
      <c r="H331">
        <v>1445</v>
      </c>
      <c r="I331">
        <v>21.59</v>
      </c>
      <c r="J331">
        <v>37755.629999999997</v>
      </c>
    </row>
    <row r="332" spans="1:10" x14ac:dyDescent="0.25">
      <c r="A332" t="s">
        <v>349</v>
      </c>
      <c r="B332" t="s">
        <v>88</v>
      </c>
      <c r="C332" s="1">
        <v>46173</v>
      </c>
      <c r="D332" t="s">
        <v>2139</v>
      </c>
      <c r="E332" t="s">
        <v>102</v>
      </c>
      <c r="F332" t="s">
        <v>109</v>
      </c>
      <c r="G332" s="14">
        <v>247217.01</v>
      </c>
      <c r="H332">
        <v>1430</v>
      </c>
      <c r="I332">
        <v>172.88</v>
      </c>
      <c r="J332">
        <v>247217.01</v>
      </c>
    </row>
    <row r="333" spans="1:10" x14ac:dyDescent="0.25">
      <c r="A333" t="s">
        <v>346</v>
      </c>
      <c r="B333" t="s">
        <v>88</v>
      </c>
      <c r="C333" s="1">
        <v>46172</v>
      </c>
      <c r="D333" t="s">
        <v>2138</v>
      </c>
      <c r="E333" t="s">
        <v>90</v>
      </c>
      <c r="F333" t="s">
        <v>91</v>
      </c>
      <c r="G333" s="14">
        <v>77924.31</v>
      </c>
      <c r="H333">
        <v>1430</v>
      </c>
      <c r="I333">
        <v>54.49</v>
      </c>
      <c r="J333">
        <v>94288.42</v>
      </c>
    </row>
    <row r="334" spans="1:10" x14ac:dyDescent="0.25">
      <c r="A334" t="s">
        <v>346</v>
      </c>
      <c r="B334" t="s">
        <v>88</v>
      </c>
      <c r="C334" s="1">
        <v>46172</v>
      </c>
      <c r="D334" t="s">
        <v>2138</v>
      </c>
      <c r="E334" t="s">
        <v>92</v>
      </c>
      <c r="F334" t="s">
        <v>91</v>
      </c>
      <c r="G334" s="14">
        <v>17159.16</v>
      </c>
      <c r="H334">
        <v>1430</v>
      </c>
      <c r="I334">
        <v>12</v>
      </c>
      <c r="J334">
        <v>17159.16</v>
      </c>
    </row>
    <row r="335" spans="1:10" x14ac:dyDescent="0.25">
      <c r="A335" t="s">
        <v>400</v>
      </c>
      <c r="B335" t="s">
        <v>88</v>
      </c>
      <c r="C335" s="1">
        <v>46172</v>
      </c>
      <c r="D335" t="s">
        <v>2155</v>
      </c>
      <c r="E335" t="s">
        <v>184</v>
      </c>
      <c r="F335" t="s">
        <v>64</v>
      </c>
      <c r="G335" s="14">
        <v>22612.400000000001</v>
      </c>
      <c r="H335">
        <v>1430</v>
      </c>
      <c r="I335">
        <v>15.81</v>
      </c>
      <c r="J335">
        <v>27361</v>
      </c>
    </row>
    <row r="336" spans="1:10" x14ac:dyDescent="0.25">
      <c r="A336" t="s">
        <v>400</v>
      </c>
      <c r="B336" t="s">
        <v>88</v>
      </c>
      <c r="C336" s="1">
        <v>46172</v>
      </c>
      <c r="D336" t="s">
        <v>2155</v>
      </c>
      <c r="E336" t="s">
        <v>184</v>
      </c>
      <c r="F336" t="s">
        <v>65</v>
      </c>
      <c r="G336" s="14">
        <v>22612.41</v>
      </c>
      <c r="H336">
        <v>1430</v>
      </c>
      <c r="I336">
        <v>15.81</v>
      </c>
      <c r="J336">
        <v>27361.02</v>
      </c>
    </row>
    <row r="337" spans="1:10" x14ac:dyDescent="0.25">
      <c r="A337" t="s">
        <v>81</v>
      </c>
      <c r="B337" t="s">
        <v>88</v>
      </c>
      <c r="C337" s="1">
        <v>46171</v>
      </c>
      <c r="D337" t="s">
        <v>2077</v>
      </c>
      <c r="E337" t="s">
        <v>84</v>
      </c>
      <c r="F337" t="s">
        <v>65</v>
      </c>
      <c r="G337" s="14">
        <v>4570627.8</v>
      </c>
      <c r="H337">
        <v>1430</v>
      </c>
      <c r="I337">
        <v>3196.24</v>
      </c>
      <c r="J337">
        <v>4570627.8</v>
      </c>
    </row>
    <row r="338" spans="1:10" x14ac:dyDescent="0.25">
      <c r="A338" t="s">
        <v>246</v>
      </c>
      <c r="B338" t="s">
        <v>88</v>
      </c>
      <c r="C338" s="1">
        <v>46171</v>
      </c>
      <c r="D338" t="s">
        <v>2106</v>
      </c>
      <c r="E338" t="s">
        <v>114</v>
      </c>
      <c r="F338" t="s">
        <v>117</v>
      </c>
      <c r="G338" s="14">
        <v>11157</v>
      </c>
      <c r="H338">
        <v>1430</v>
      </c>
      <c r="I338">
        <v>7.8</v>
      </c>
      <c r="J338">
        <v>13499.97</v>
      </c>
    </row>
    <row r="339" spans="1:10" x14ac:dyDescent="0.25">
      <c r="A339" t="s">
        <v>246</v>
      </c>
      <c r="B339" t="s">
        <v>88</v>
      </c>
      <c r="C339" s="1">
        <v>46171</v>
      </c>
      <c r="D339" t="s">
        <v>2107</v>
      </c>
      <c r="E339" t="s">
        <v>114</v>
      </c>
      <c r="F339" t="s">
        <v>117</v>
      </c>
      <c r="G339" s="14">
        <v>2479.34</v>
      </c>
      <c r="H339">
        <v>1430</v>
      </c>
      <c r="I339">
        <v>1.73</v>
      </c>
      <c r="J339">
        <v>3000</v>
      </c>
    </row>
    <row r="340" spans="1:10" x14ac:dyDescent="0.25">
      <c r="A340" t="s">
        <v>490</v>
      </c>
      <c r="B340" t="s">
        <v>96</v>
      </c>
      <c r="C340" s="1">
        <v>46171</v>
      </c>
      <c r="D340" t="s">
        <v>2189</v>
      </c>
      <c r="E340" t="s">
        <v>84</v>
      </c>
      <c r="F340" t="s">
        <v>65</v>
      </c>
      <c r="G340" s="14">
        <v>2341.92</v>
      </c>
      <c r="H340">
        <v>1430</v>
      </c>
      <c r="I340">
        <v>1.64</v>
      </c>
      <c r="J340">
        <v>2341.92</v>
      </c>
    </row>
    <row r="341" spans="1:10" x14ac:dyDescent="0.25">
      <c r="A341" t="s">
        <v>521</v>
      </c>
      <c r="B341" t="s">
        <v>88</v>
      </c>
      <c r="C341" s="1">
        <v>46171</v>
      </c>
      <c r="D341" t="s">
        <v>2207</v>
      </c>
      <c r="E341" t="s">
        <v>136</v>
      </c>
      <c r="F341" t="s">
        <v>135</v>
      </c>
      <c r="G341" s="14">
        <v>21000</v>
      </c>
      <c r="H341">
        <v>1430</v>
      </c>
      <c r="I341">
        <v>14.69</v>
      </c>
      <c r="J341">
        <v>25410</v>
      </c>
    </row>
    <row r="342" spans="1:10" x14ac:dyDescent="0.25">
      <c r="A342" t="s">
        <v>2048</v>
      </c>
      <c r="B342" t="s">
        <v>88</v>
      </c>
      <c r="C342" s="1">
        <v>46171</v>
      </c>
      <c r="D342" t="s">
        <v>2223</v>
      </c>
      <c r="E342" t="s">
        <v>184</v>
      </c>
      <c r="F342" t="s">
        <v>64</v>
      </c>
      <c r="G342" s="14">
        <v>19834.71</v>
      </c>
      <c r="H342">
        <v>1430</v>
      </c>
      <c r="I342">
        <v>13.87</v>
      </c>
      <c r="J342">
        <v>24000</v>
      </c>
    </row>
    <row r="343" spans="1:10" x14ac:dyDescent="0.25">
      <c r="A343" t="s">
        <v>564</v>
      </c>
      <c r="B343" t="s">
        <v>88</v>
      </c>
      <c r="C343" s="1">
        <v>46170</v>
      </c>
      <c r="D343" t="s">
        <v>2075</v>
      </c>
      <c r="E343" t="s">
        <v>297</v>
      </c>
      <c r="F343" t="s">
        <v>2076</v>
      </c>
      <c r="G343" s="14">
        <v>214399.9</v>
      </c>
      <c r="H343">
        <v>1430</v>
      </c>
      <c r="I343">
        <v>149.93</v>
      </c>
      <c r="J343">
        <v>259430.6</v>
      </c>
    </row>
    <row r="344" spans="1:10" x14ac:dyDescent="0.25">
      <c r="A344" t="s">
        <v>287</v>
      </c>
      <c r="B344" t="s">
        <v>88</v>
      </c>
      <c r="C344" s="1">
        <v>46170</v>
      </c>
      <c r="D344" t="s">
        <v>2120</v>
      </c>
      <c r="E344" t="s">
        <v>329</v>
      </c>
      <c r="F344" t="s">
        <v>64</v>
      </c>
      <c r="G344" s="14">
        <v>-2246524.75</v>
      </c>
      <c r="H344">
        <v>1430</v>
      </c>
      <c r="I344">
        <v>-1571</v>
      </c>
      <c r="J344">
        <v>-2246524.75</v>
      </c>
    </row>
    <row r="345" spans="1:10" x14ac:dyDescent="0.25">
      <c r="A345" t="s">
        <v>287</v>
      </c>
      <c r="B345" t="s">
        <v>88</v>
      </c>
      <c r="C345" s="1">
        <v>46170</v>
      </c>
      <c r="D345" t="s">
        <v>2120</v>
      </c>
      <c r="E345" t="s">
        <v>184</v>
      </c>
      <c r="F345" t="s">
        <v>64</v>
      </c>
      <c r="G345" s="14">
        <v>2703054.17</v>
      </c>
      <c r="H345">
        <v>1430</v>
      </c>
      <c r="I345">
        <v>1890.25</v>
      </c>
      <c r="J345">
        <v>3270695.55</v>
      </c>
    </row>
    <row r="346" spans="1:10" x14ac:dyDescent="0.25">
      <c r="A346" t="s">
        <v>287</v>
      </c>
      <c r="B346" t="s">
        <v>88</v>
      </c>
      <c r="C346" s="1">
        <v>46170</v>
      </c>
      <c r="D346" t="s">
        <v>2120</v>
      </c>
      <c r="E346" t="s">
        <v>786</v>
      </c>
      <c r="F346" t="s">
        <v>64</v>
      </c>
      <c r="G346" s="14">
        <v>-51.8</v>
      </c>
      <c r="H346">
        <v>1430</v>
      </c>
      <c r="I346">
        <v>-0.04</v>
      </c>
      <c r="J346">
        <v>-51.8</v>
      </c>
    </row>
    <row r="347" spans="1:10" x14ac:dyDescent="0.25">
      <c r="A347" t="s">
        <v>295</v>
      </c>
      <c r="B347" t="s">
        <v>88</v>
      </c>
      <c r="C347" s="1">
        <v>46170</v>
      </c>
      <c r="D347" t="s">
        <v>2124</v>
      </c>
      <c r="E347" t="s">
        <v>297</v>
      </c>
      <c r="F347" t="s">
        <v>2076</v>
      </c>
      <c r="G347" s="14">
        <v>32651.24</v>
      </c>
      <c r="H347">
        <v>1430</v>
      </c>
      <c r="I347">
        <v>22.83</v>
      </c>
      <c r="J347">
        <v>39508</v>
      </c>
    </row>
    <row r="348" spans="1:10" x14ac:dyDescent="0.25">
      <c r="A348" t="s">
        <v>316</v>
      </c>
      <c r="B348" t="s">
        <v>88</v>
      </c>
      <c r="C348" s="1">
        <v>46170</v>
      </c>
      <c r="D348" t="s">
        <v>2129</v>
      </c>
      <c r="E348" t="s">
        <v>136</v>
      </c>
      <c r="F348" t="s">
        <v>65</v>
      </c>
      <c r="G348" s="14">
        <v>18698680</v>
      </c>
      <c r="H348">
        <v>1430</v>
      </c>
      <c r="I348">
        <v>13076</v>
      </c>
      <c r="J348">
        <v>22625402.800000001</v>
      </c>
    </row>
    <row r="349" spans="1:10" x14ac:dyDescent="0.25">
      <c r="A349" t="s">
        <v>316</v>
      </c>
      <c r="B349" t="s">
        <v>88</v>
      </c>
      <c r="C349" s="1">
        <v>46170</v>
      </c>
      <c r="D349" t="s">
        <v>2130</v>
      </c>
      <c r="E349" t="s">
        <v>136</v>
      </c>
      <c r="F349" t="s">
        <v>65</v>
      </c>
      <c r="G349" s="14">
        <v>12622910.300000001</v>
      </c>
      <c r="H349">
        <v>1430</v>
      </c>
      <c r="I349">
        <v>8827.2099999999991</v>
      </c>
      <c r="J349">
        <v>15273721.460000001</v>
      </c>
    </row>
    <row r="350" spans="1:10" x14ac:dyDescent="0.25">
      <c r="A350" t="s">
        <v>2140</v>
      </c>
      <c r="B350" t="s">
        <v>88</v>
      </c>
      <c r="C350" s="1">
        <v>46170</v>
      </c>
      <c r="D350" t="s">
        <v>2141</v>
      </c>
      <c r="E350" t="s">
        <v>218</v>
      </c>
      <c r="F350" t="s">
        <v>31</v>
      </c>
      <c r="G350" s="14">
        <v>35124.14</v>
      </c>
      <c r="H350">
        <v>1430</v>
      </c>
      <c r="I350">
        <v>24.56</v>
      </c>
      <c r="J350">
        <v>42500</v>
      </c>
    </row>
    <row r="351" spans="1:10" x14ac:dyDescent="0.25">
      <c r="A351" t="s">
        <v>426</v>
      </c>
      <c r="B351" t="s">
        <v>88</v>
      </c>
      <c r="C351" s="1">
        <v>46170</v>
      </c>
      <c r="D351" t="s">
        <v>2161</v>
      </c>
      <c r="E351" t="s">
        <v>134</v>
      </c>
      <c r="F351" t="s">
        <v>64</v>
      </c>
      <c r="G351" s="14">
        <v>657949.25</v>
      </c>
      <c r="H351">
        <v>1430</v>
      </c>
      <c r="I351">
        <v>460.1</v>
      </c>
      <c r="J351">
        <v>727033.92</v>
      </c>
    </row>
    <row r="352" spans="1:10" x14ac:dyDescent="0.25">
      <c r="A352" t="s">
        <v>426</v>
      </c>
      <c r="B352" t="s">
        <v>88</v>
      </c>
      <c r="C352" s="1">
        <v>46170</v>
      </c>
      <c r="D352" t="s">
        <v>2161</v>
      </c>
      <c r="E352" t="s">
        <v>136</v>
      </c>
      <c r="F352" t="s">
        <v>64</v>
      </c>
      <c r="G352" s="14">
        <v>370628.09</v>
      </c>
      <c r="H352">
        <v>1430</v>
      </c>
      <c r="I352">
        <v>259.18</v>
      </c>
      <c r="J352">
        <v>448459.99</v>
      </c>
    </row>
    <row r="353" spans="1:10" x14ac:dyDescent="0.25">
      <c r="A353" t="s">
        <v>2180</v>
      </c>
      <c r="B353" t="s">
        <v>88</v>
      </c>
      <c r="C353" s="1">
        <v>46170</v>
      </c>
      <c r="D353" t="s">
        <v>2181</v>
      </c>
      <c r="E353" t="s">
        <v>653</v>
      </c>
      <c r="F353" t="s">
        <v>31</v>
      </c>
      <c r="G353" s="14">
        <v>72727.27</v>
      </c>
      <c r="H353">
        <v>1430</v>
      </c>
      <c r="I353">
        <v>50.86</v>
      </c>
      <c r="J353">
        <v>88000</v>
      </c>
    </row>
    <row r="354" spans="1:10" x14ac:dyDescent="0.25">
      <c r="A354" t="s">
        <v>490</v>
      </c>
      <c r="B354" t="s">
        <v>96</v>
      </c>
      <c r="C354" s="1">
        <v>46170</v>
      </c>
      <c r="D354" t="s">
        <v>2189</v>
      </c>
      <c r="E354" t="s">
        <v>84</v>
      </c>
      <c r="F354" t="s">
        <v>65</v>
      </c>
      <c r="G354" s="14">
        <v>12015.04</v>
      </c>
      <c r="H354">
        <v>1430</v>
      </c>
      <c r="I354">
        <v>8.4</v>
      </c>
      <c r="J354">
        <v>12015.04</v>
      </c>
    </row>
    <row r="355" spans="1:10" x14ac:dyDescent="0.25">
      <c r="A355" t="s">
        <v>527</v>
      </c>
      <c r="B355" t="s">
        <v>88</v>
      </c>
      <c r="C355" s="1">
        <v>46170</v>
      </c>
      <c r="D355" t="s">
        <v>2214</v>
      </c>
      <c r="E355" t="s">
        <v>297</v>
      </c>
      <c r="F355" t="s">
        <v>2076</v>
      </c>
      <c r="G355" s="14">
        <v>292443.86</v>
      </c>
      <c r="H355">
        <v>1430</v>
      </c>
      <c r="I355">
        <v>204.51</v>
      </c>
      <c r="J355">
        <v>353850.58</v>
      </c>
    </row>
    <row r="356" spans="1:10" x14ac:dyDescent="0.25">
      <c r="A356" t="s">
        <v>527</v>
      </c>
      <c r="B356" t="s">
        <v>88</v>
      </c>
      <c r="C356" s="1">
        <v>46170</v>
      </c>
      <c r="D356" t="s">
        <v>2214</v>
      </c>
      <c r="E356" t="s">
        <v>529</v>
      </c>
      <c r="F356" t="s">
        <v>2076</v>
      </c>
      <c r="G356" s="14">
        <v>423300</v>
      </c>
      <c r="H356">
        <v>1430</v>
      </c>
      <c r="I356">
        <v>296.01</v>
      </c>
      <c r="J356">
        <v>512193</v>
      </c>
    </row>
    <row r="357" spans="1:10" x14ac:dyDescent="0.25">
      <c r="A357" t="s">
        <v>527</v>
      </c>
      <c r="B357" t="s">
        <v>88</v>
      </c>
      <c r="C357" s="1">
        <v>46170</v>
      </c>
      <c r="D357" t="s">
        <v>2215</v>
      </c>
      <c r="E357" t="s">
        <v>184</v>
      </c>
      <c r="F357" t="s">
        <v>2076</v>
      </c>
      <c r="G357" s="14">
        <v>232071.45</v>
      </c>
      <c r="H357">
        <v>1430</v>
      </c>
      <c r="I357">
        <v>162.29</v>
      </c>
      <c r="J357">
        <v>280806.45</v>
      </c>
    </row>
    <row r="358" spans="1:10" x14ac:dyDescent="0.25">
      <c r="A358" t="s">
        <v>527</v>
      </c>
      <c r="B358" t="s">
        <v>470</v>
      </c>
      <c r="C358" s="1">
        <v>46170</v>
      </c>
      <c r="D358" t="s">
        <v>2222</v>
      </c>
      <c r="E358" t="s">
        <v>297</v>
      </c>
      <c r="F358" t="s">
        <v>2076</v>
      </c>
      <c r="G358" s="14">
        <v>3587.26</v>
      </c>
      <c r="H358">
        <v>1430</v>
      </c>
      <c r="I358">
        <v>2.5099999999999998</v>
      </c>
      <c r="J358">
        <v>4340.58</v>
      </c>
    </row>
    <row r="359" spans="1:10" x14ac:dyDescent="0.25">
      <c r="A359" t="s">
        <v>527</v>
      </c>
      <c r="B359" t="s">
        <v>470</v>
      </c>
      <c r="C359" s="1">
        <v>46170</v>
      </c>
      <c r="D359" t="s">
        <v>2222</v>
      </c>
      <c r="E359" t="s">
        <v>84</v>
      </c>
      <c r="F359" t="s">
        <v>2076</v>
      </c>
      <c r="G359" s="14">
        <v>298938.59999999998</v>
      </c>
      <c r="H359">
        <v>1430</v>
      </c>
      <c r="I359">
        <v>209.05</v>
      </c>
      <c r="J359">
        <v>298938.59999999998</v>
      </c>
    </row>
    <row r="360" spans="1:10" x14ac:dyDescent="0.25">
      <c r="A360" t="s">
        <v>2229</v>
      </c>
      <c r="B360" t="s">
        <v>88</v>
      </c>
      <c r="C360" s="1">
        <v>46170</v>
      </c>
      <c r="D360" t="s">
        <v>2230</v>
      </c>
      <c r="E360" t="s">
        <v>90</v>
      </c>
      <c r="F360" t="s">
        <v>91</v>
      </c>
      <c r="G360" s="14">
        <v>275563.42</v>
      </c>
      <c r="H360">
        <v>1430</v>
      </c>
      <c r="I360">
        <v>192.7</v>
      </c>
      <c r="J360">
        <v>333431.74</v>
      </c>
    </row>
    <row r="361" spans="1:10" x14ac:dyDescent="0.25">
      <c r="A361" t="s">
        <v>2229</v>
      </c>
      <c r="B361" t="s">
        <v>88</v>
      </c>
      <c r="C361" s="1">
        <v>46170</v>
      </c>
      <c r="D361" t="s">
        <v>2230</v>
      </c>
      <c r="E361" t="s">
        <v>92</v>
      </c>
      <c r="F361" t="s">
        <v>91</v>
      </c>
      <c r="G361" s="14">
        <v>40587.26</v>
      </c>
      <c r="H361">
        <v>1430</v>
      </c>
      <c r="I361">
        <v>28.38</v>
      </c>
      <c r="J361">
        <v>40587.26</v>
      </c>
    </row>
    <row r="362" spans="1:10" x14ac:dyDescent="0.25">
      <c r="A362" t="s">
        <v>935</v>
      </c>
      <c r="B362" t="s">
        <v>88</v>
      </c>
      <c r="C362" s="1">
        <v>46169</v>
      </c>
      <c r="D362" t="s">
        <v>2072</v>
      </c>
      <c r="E362" t="s">
        <v>136</v>
      </c>
      <c r="F362" t="s">
        <v>65</v>
      </c>
      <c r="G362" s="14">
        <v>462977.32</v>
      </c>
      <c r="H362">
        <v>1430</v>
      </c>
      <c r="I362">
        <v>323.76</v>
      </c>
      <c r="J362">
        <v>560209.32999999996</v>
      </c>
    </row>
    <row r="363" spans="1:10" x14ac:dyDescent="0.25">
      <c r="A363" t="s">
        <v>935</v>
      </c>
      <c r="B363" t="s">
        <v>88</v>
      </c>
      <c r="C363" s="1">
        <v>46169</v>
      </c>
      <c r="D363" t="s">
        <v>2073</v>
      </c>
      <c r="E363" t="s">
        <v>136</v>
      </c>
      <c r="F363" t="s">
        <v>65</v>
      </c>
      <c r="G363" s="14">
        <v>1809409.96</v>
      </c>
      <c r="H363">
        <v>1430</v>
      </c>
      <c r="I363">
        <v>1265.32</v>
      </c>
      <c r="J363">
        <v>2189392.2599999998</v>
      </c>
    </row>
    <row r="364" spans="1:10" x14ac:dyDescent="0.25">
      <c r="A364" t="s">
        <v>81</v>
      </c>
      <c r="B364" t="s">
        <v>88</v>
      </c>
      <c r="C364" s="1">
        <v>46169</v>
      </c>
      <c r="D364" t="s">
        <v>2077</v>
      </c>
      <c r="E364" t="s">
        <v>84</v>
      </c>
      <c r="F364" t="s">
        <v>2076</v>
      </c>
      <c r="G364" s="14">
        <v>884090.27</v>
      </c>
      <c r="H364">
        <v>1430</v>
      </c>
      <c r="I364">
        <v>618.24</v>
      </c>
      <c r="J364">
        <v>884090.27</v>
      </c>
    </row>
    <row r="365" spans="1:10" x14ac:dyDescent="0.25">
      <c r="A365" t="s">
        <v>226</v>
      </c>
      <c r="B365" t="s">
        <v>88</v>
      </c>
      <c r="C365" s="1">
        <v>46169</v>
      </c>
      <c r="D365" t="s">
        <v>2102</v>
      </c>
      <c r="E365" t="s">
        <v>228</v>
      </c>
      <c r="F365" t="s">
        <v>109</v>
      </c>
      <c r="G365" s="14">
        <v>298743.21999999997</v>
      </c>
      <c r="H365">
        <v>1430</v>
      </c>
      <c r="I365">
        <v>208.91</v>
      </c>
      <c r="J365">
        <v>379403.89</v>
      </c>
    </row>
    <row r="366" spans="1:10" x14ac:dyDescent="0.25">
      <c r="A366" t="s">
        <v>226</v>
      </c>
      <c r="B366" t="s">
        <v>88</v>
      </c>
      <c r="C366" s="1">
        <v>46169</v>
      </c>
      <c r="D366" t="s">
        <v>2102</v>
      </c>
      <c r="E366" t="s">
        <v>229</v>
      </c>
      <c r="F366" t="s">
        <v>109</v>
      </c>
      <c r="G366" s="14">
        <v>130076.84</v>
      </c>
      <c r="H366">
        <v>1430</v>
      </c>
      <c r="I366">
        <v>90.96</v>
      </c>
      <c r="J366">
        <v>130076.84</v>
      </c>
    </row>
    <row r="367" spans="1:10" x14ac:dyDescent="0.25">
      <c r="A367" t="s">
        <v>226</v>
      </c>
      <c r="B367" t="s">
        <v>88</v>
      </c>
      <c r="C367" s="1">
        <v>46169</v>
      </c>
      <c r="D367" t="s">
        <v>2103</v>
      </c>
      <c r="E367" t="s">
        <v>228</v>
      </c>
      <c r="F367" t="s">
        <v>109</v>
      </c>
      <c r="G367" s="14">
        <v>301517.21999999997</v>
      </c>
      <c r="H367">
        <v>1430</v>
      </c>
      <c r="I367">
        <v>210.85</v>
      </c>
      <c r="J367">
        <v>382926.87</v>
      </c>
    </row>
    <row r="368" spans="1:10" x14ac:dyDescent="0.25">
      <c r="A368" t="s">
        <v>226</v>
      </c>
      <c r="B368" t="s">
        <v>88</v>
      </c>
      <c r="C368" s="1">
        <v>46169</v>
      </c>
      <c r="D368" t="s">
        <v>2103</v>
      </c>
      <c r="E368" t="s">
        <v>229</v>
      </c>
      <c r="F368" t="s">
        <v>109</v>
      </c>
      <c r="G368" s="14">
        <v>107844.4</v>
      </c>
      <c r="H368">
        <v>1430</v>
      </c>
      <c r="I368">
        <v>75.42</v>
      </c>
      <c r="J368">
        <v>107844.4</v>
      </c>
    </row>
    <row r="369" spans="1:10" x14ac:dyDescent="0.25">
      <c r="A369" t="s">
        <v>695</v>
      </c>
      <c r="B369" t="s">
        <v>88</v>
      </c>
      <c r="C369" s="1">
        <v>46169</v>
      </c>
      <c r="D369" t="s">
        <v>2121</v>
      </c>
      <c r="E369" t="s">
        <v>329</v>
      </c>
      <c r="F369" t="s">
        <v>65</v>
      </c>
      <c r="G369" s="14">
        <v>2174840.37</v>
      </c>
      <c r="H369">
        <v>1430</v>
      </c>
      <c r="I369">
        <v>1520.87</v>
      </c>
      <c r="J369">
        <v>2174840.37</v>
      </c>
    </row>
    <row r="370" spans="1:10" x14ac:dyDescent="0.25">
      <c r="A370" t="s">
        <v>361</v>
      </c>
      <c r="B370" t="s">
        <v>88</v>
      </c>
      <c r="C370" s="1">
        <v>46169</v>
      </c>
      <c r="D370" t="s">
        <v>2142</v>
      </c>
      <c r="E370" t="s">
        <v>136</v>
      </c>
      <c r="F370" t="s">
        <v>65</v>
      </c>
      <c r="G370" s="14">
        <v>452928.4</v>
      </c>
      <c r="H370">
        <v>1430</v>
      </c>
      <c r="I370">
        <v>316.73</v>
      </c>
      <c r="J370">
        <v>548043.37</v>
      </c>
    </row>
    <row r="371" spans="1:10" x14ac:dyDescent="0.25">
      <c r="A371" t="s">
        <v>2148</v>
      </c>
      <c r="B371" t="s">
        <v>88</v>
      </c>
      <c r="C371" s="1">
        <v>46169</v>
      </c>
      <c r="D371" t="s">
        <v>2149</v>
      </c>
      <c r="E371" t="s">
        <v>90</v>
      </c>
      <c r="F371" t="s">
        <v>91</v>
      </c>
      <c r="G371" s="14">
        <v>333783.01</v>
      </c>
      <c r="H371">
        <v>1430</v>
      </c>
      <c r="I371">
        <v>233.41</v>
      </c>
      <c r="J371">
        <v>403877.45</v>
      </c>
    </row>
    <row r="372" spans="1:10" x14ac:dyDescent="0.25">
      <c r="A372" t="s">
        <v>2148</v>
      </c>
      <c r="B372" t="s">
        <v>88</v>
      </c>
      <c r="C372" s="1">
        <v>46169</v>
      </c>
      <c r="D372" t="s">
        <v>2149</v>
      </c>
      <c r="E372" t="s">
        <v>92</v>
      </c>
      <c r="F372" t="s">
        <v>91</v>
      </c>
      <c r="G372" s="14">
        <v>46135.63</v>
      </c>
      <c r="H372">
        <v>1430</v>
      </c>
      <c r="I372">
        <v>32.26</v>
      </c>
      <c r="J372">
        <v>46135.63</v>
      </c>
    </row>
    <row r="373" spans="1:10" x14ac:dyDescent="0.25">
      <c r="A373" t="s">
        <v>443</v>
      </c>
      <c r="B373" t="s">
        <v>88</v>
      </c>
      <c r="C373" s="1">
        <v>46169</v>
      </c>
      <c r="D373" t="s">
        <v>2163</v>
      </c>
      <c r="E373" t="s">
        <v>90</v>
      </c>
      <c r="F373" t="s">
        <v>91</v>
      </c>
      <c r="G373" s="14">
        <v>33974.949999999997</v>
      </c>
      <c r="H373">
        <v>1430</v>
      </c>
      <c r="I373">
        <v>23.76</v>
      </c>
      <c r="J373">
        <v>41109.69</v>
      </c>
    </row>
    <row r="374" spans="1:10" x14ac:dyDescent="0.25">
      <c r="A374" t="s">
        <v>443</v>
      </c>
      <c r="B374" t="s">
        <v>88</v>
      </c>
      <c r="C374" s="1">
        <v>46169</v>
      </c>
      <c r="D374" t="s">
        <v>2163</v>
      </c>
      <c r="E374" t="s">
        <v>92</v>
      </c>
      <c r="F374" t="s">
        <v>91</v>
      </c>
      <c r="G374" s="14">
        <v>90.31</v>
      </c>
      <c r="H374">
        <v>1430</v>
      </c>
      <c r="I374">
        <v>0.06</v>
      </c>
      <c r="J374">
        <v>90.31</v>
      </c>
    </row>
    <row r="375" spans="1:10" x14ac:dyDescent="0.25">
      <c r="A375" t="s">
        <v>515</v>
      </c>
      <c r="B375" t="s">
        <v>88</v>
      </c>
      <c r="C375" s="1">
        <v>46169</v>
      </c>
      <c r="D375" t="s">
        <v>2206</v>
      </c>
      <c r="E375" t="s">
        <v>184</v>
      </c>
      <c r="F375" t="s">
        <v>65</v>
      </c>
      <c r="G375" s="14">
        <v>16260</v>
      </c>
      <c r="H375">
        <v>1430</v>
      </c>
      <c r="I375">
        <v>11.37</v>
      </c>
      <c r="J375">
        <v>19674.599999999999</v>
      </c>
    </row>
    <row r="376" spans="1:10" x14ac:dyDescent="0.25">
      <c r="A376" t="s">
        <v>1525</v>
      </c>
      <c r="B376" t="s">
        <v>470</v>
      </c>
      <c r="C376" s="1">
        <v>46168</v>
      </c>
      <c r="D376" t="s">
        <v>2079</v>
      </c>
      <c r="E376" t="s">
        <v>2080</v>
      </c>
      <c r="F376" t="s">
        <v>31</v>
      </c>
      <c r="G376" s="14">
        <v>676675.19</v>
      </c>
      <c r="H376">
        <v>1430</v>
      </c>
      <c r="I376">
        <v>473.2</v>
      </c>
      <c r="J376">
        <v>818776.98</v>
      </c>
    </row>
    <row r="377" spans="1:10" x14ac:dyDescent="0.25">
      <c r="A377" t="s">
        <v>161</v>
      </c>
      <c r="B377" t="s">
        <v>88</v>
      </c>
      <c r="C377" s="1">
        <v>46168</v>
      </c>
      <c r="D377" t="s">
        <v>2089</v>
      </c>
      <c r="E377" t="s">
        <v>136</v>
      </c>
      <c r="F377" t="s">
        <v>63</v>
      </c>
      <c r="G377" s="14">
        <v>559355.25</v>
      </c>
      <c r="H377">
        <v>1430</v>
      </c>
      <c r="I377">
        <v>391.16</v>
      </c>
      <c r="J377">
        <v>676818</v>
      </c>
    </row>
    <row r="378" spans="1:10" x14ac:dyDescent="0.25">
      <c r="A378" t="s">
        <v>346</v>
      </c>
      <c r="B378" t="s">
        <v>88</v>
      </c>
      <c r="C378" s="1">
        <v>46168</v>
      </c>
      <c r="D378" t="s">
        <v>2137</v>
      </c>
      <c r="E378" t="s">
        <v>90</v>
      </c>
      <c r="F378" t="s">
        <v>91</v>
      </c>
      <c r="G378" s="14">
        <v>418384.68</v>
      </c>
      <c r="H378">
        <v>1430</v>
      </c>
      <c r="I378">
        <v>292.58</v>
      </c>
      <c r="J378">
        <v>506245.46</v>
      </c>
    </row>
    <row r="379" spans="1:10" x14ac:dyDescent="0.25">
      <c r="A379" t="s">
        <v>346</v>
      </c>
      <c r="B379" t="s">
        <v>88</v>
      </c>
      <c r="C379" s="1">
        <v>46168</v>
      </c>
      <c r="D379" t="s">
        <v>2137</v>
      </c>
      <c r="E379" t="s">
        <v>92</v>
      </c>
      <c r="F379" t="s">
        <v>91</v>
      </c>
      <c r="G379" s="14">
        <v>65737.75</v>
      </c>
      <c r="H379">
        <v>1430</v>
      </c>
      <c r="I379">
        <v>45.97</v>
      </c>
      <c r="J379">
        <v>65737.75</v>
      </c>
    </row>
    <row r="380" spans="1:10" x14ac:dyDescent="0.25">
      <c r="A380" t="s">
        <v>400</v>
      </c>
      <c r="B380" t="s">
        <v>88</v>
      </c>
      <c r="C380" s="1">
        <v>46168</v>
      </c>
      <c r="D380" t="s">
        <v>2154</v>
      </c>
      <c r="E380" t="s">
        <v>184</v>
      </c>
      <c r="F380" t="s">
        <v>65</v>
      </c>
      <c r="G380" s="14">
        <v>153944.20000000001</v>
      </c>
      <c r="H380">
        <v>1430</v>
      </c>
      <c r="I380">
        <v>107.65</v>
      </c>
      <c r="J380">
        <v>186272.48</v>
      </c>
    </row>
    <row r="381" spans="1:10" x14ac:dyDescent="0.25">
      <c r="A381" t="s">
        <v>527</v>
      </c>
      <c r="B381" t="s">
        <v>88</v>
      </c>
      <c r="C381" s="1">
        <v>46168</v>
      </c>
      <c r="D381" t="s">
        <v>2213</v>
      </c>
      <c r="E381" t="s">
        <v>184</v>
      </c>
      <c r="F381" t="s">
        <v>2076</v>
      </c>
      <c r="G381" s="14">
        <v>582968.92000000004</v>
      </c>
      <c r="H381">
        <v>1430</v>
      </c>
      <c r="I381">
        <v>407.67</v>
      </c>
      <c r="J381">
        <v>705392.09</v>
      </c>
    </row>
    <row r="382" spans="1:10" x14ac:dyDescent="0.25">
      <c r="A382" t="s">
        <v>527</v>
      </c>
      <c r="B382" t="s">
        <v>88</v>
      </c>
      <c r="C382" s="1">
        <v>46168</v>
      </c>
      <c r="D382" t="s">
        <v>2213</v>
      </c>
      <c r="E382" t="s">
        <v>786</v>
      </c>
      <c r="F382" t="s">
        <v>2076</v>
      </c>
      <c r="G382" s="14">
        <v>1776333.04</v>
      </c>
      <c r="H382">
        <v>1430</v>
      </c>
      <c r="I382">
        <v>1242.19</v>
      </c>
      <c r="J382">
        <v>1776333.04</v>
      </c>
    </row>
    <row r="383" spans="1:10" x14ac:dyDescent="0.25">
      <c r="A383" t="s">
        <v>1844</v>
      </c>
      <c r="B383" t="s">
        <v>88</v>
      </c>
      <c r="C383" s="1">
        <v>46164</v>
      </c>
      <c r="D383" t="s">
        <v>2094</v>
      </c>
      <c r="E383" t="s">
        <v>524</v>
      </c>
      <c r="F383" t="s">
        <v>976</v>
      </c>
      <c r="G383" s="14">
        <v>688264.46</v>
      </c>
      <c r="H383">
        <v>1425</v>
      </c>
      <c r="I383">
        <v>482.99</v>
      </c>
      <c r="J383">
        <v>832800</v>
      </c>
    </row>
    <row r="384" spans="1:10" x14ac:dyDescent="0.25">
      <c r="A384" t="s">
        <v>2131</v>
      </c>
      <c r="B384" t="s">
        <v>88</v>
      </c>
      <c r="C384" s="1">
        <v>46164</v>
      </c>
      <c r="D384" t="s">
        <v>2132</v>
      </c>
      <c r="E384" t="s">
        <v>136</v>
      </c>
      <c r="F384" t="s">
        <v>64</v>
      </c>
      <c r="G384" s="14">
        <v>24964.799999999999</v>
      </c>
      <c r="H384">
        <v>1425</v>
      </c>
      <c r="I384">
        <v>17.52</v>
      </c>
      <c r="J384">
        <v>30207.41</v>
      </c>
    </row>
    <row r="385" spans="1:10" x14ac:dyDescent="0.25">
      <c r="A385" t="s">
        <v>1645</v>
      </c>
      <c r="B385" t="s">
        <v>96</v>
      </c>
      <c r="C385" s="1">
        <v>46164</v>
      </c>
      <c r="D385" t="s">
        <v>2152</v>
      </c>
      <c r="E385" t="s">
        <v>1647</v>
      </c>
      <c r="F385" t="s">
        <v>85</v>
      </c>
      <c r="G385" s="14">
        <v>90662.399999999994</v>
      </c>
      <c r="H385">
        <v>1425</v>
      </c>
      <c r="I385">
        <v>63.62</v>
      </c>
      <c r="J385">
        <v>90662.399999999994</v>
      </c>
    </row>
    <row r="386" spans="1:10" x14ac:dyDescent="0.25">
      <c r="A386" t="s">
        <v>1251</v>
      </c>
      <c r="B386" t="s">
        <v>88</v>
      </c>
      <c r="C386" s="1">
        <v>46164</v>
      </c>
      <c r="D386" t="s">
        <v>2158</v>
      </c>
      <c r="E386" t="s">
        <v>136</v>
      </c>
      <c r="F386" t="s">
        <v>31</v>
      </c>
      <c r="G386" s="14">
        <v>190756.08</v>
      </c>
      <c r="H386">
        <v>1425</v>
      </c>
      <c r="I386">
        <v>133.86000000000001</v>
      </c>
      <c r="J386">
        <v>230813.33</v>
      </c>
    </row>
    <row r="387" spans="1:10" x14ac:dyDescent="0.25">
      <c r="A387" t="s">
        <v>1251</v>
      </c>
      <c r="B387" t="s">
        <v>88</v>
      </c>
      <c r="C387" s="1">
        <v>46164</v>
      </c>
      <c r="D387" t="s">
        <v>2158</v>
      </c>
      <c r="E387" t="s">
        <v>136</v>
      </c>
      <c r="F387" t="s">
        <v>65</v>
      </c>
      <c r="G387" s="14">
        <v>868999.92</v>
      </c>
      <c r="H387">
        <v>1425</v>
      </c>
      <c r="I387">
        <v>609.82000000000005</v>
      </c>
      <c r="J387">
        <v>1051482.97</v>
      </c>
    </row>
    <row r="388" spans="1:10" x14ac:dyDescent="0.25">
      <c r="A388" t="s">
        <v>1251</v>
      </c>
      <c r="B388" t="s">
        <v>88</v>
      </c>
      <c r="C388" s="1">
        <v>46164</v>
      </c>
      <c r="D388" t="s">
        <v>2159</v>
      </c>
      <c r="E388" t="s">
        <v>136</v>
      </c>
      <c r="F388" t="s">
        <v>31</v>
      </c>
      <c r="G388" s="14">
        <v>108273.9</v>
      </c>
      <c r="H388">
        <v>1425</v>
      </c>
      <c r="I388">
        <v>75.98</v>
      </c>
      <c r="J388">
        <v>131017.2</v>
      </c>
    </row>
    <row r="389" spans="1:10" x14ac:dyDescent="0.25">
      <c r="A389" t="s">
        <v>426</v>
      </c>
      <c r="B389" t="s">
        <v>88</v>
      </c>
      <c r="C389" s="1">
        <v>46164</v>
      </c>
      <c r="D389" t="s">
        <v>2160</v>
      </c>
      <c r="E389" t="s">
        <v>136</v>
      </c>
      <c r="F389" t="s">
        <v>65</v>
      </c>
      <c r="G389" s="14">
        <v>270671</v>
      </c>
      <c r="H389">
        <v>1425</v>
      </c>
      <c r="I389">
        <v>189.94</v>
      </c>
      <c r="J389">
        <v>327511.90999999997</v>
      </c>
    </row>
    <row r="390" spans="1:10" x14ac:dyDescent="0.25">
      <c r="A390" t="s">
        <v>443</v>
      </c>
      <c r="B390" t="s">
        <v>88</v>
      </c>
      <c r="C390" s="1">
        <v>46164</v>
      </c>
      <c r="D390" t="s">
        <v>2162</v>
      </c>
      <c r="E390" t="s">
        <v>90</v>
      </c>
      <c r="F390" t="s">
        <v>91</v>
      </c>
      <c r="G390" s="14">
        <v>50005.72</v>
      </c>
      <c r="H390">
        <v>1425</v>
      </c>
      <c r="I390">
        <v>35.090000000000003</v>
      </c>
      <c r="J390">
        <v>60506.92</v>
      </c>
    </row>
    <row r="391" spans="1:10" x14ac:dyDescent="0.25">
      <c r="A391" t="s">
        <v>443</v>
      </c>
      <c r="B391" t="s">
        <v>88</v>
      </c>
      <c r="C391" s="1">
        <v>46164</v>
      </c>
      <c r="D391" t="s">
        <v>2162</v>
      </c>
      <c r="E391" t="s">
        <v>92</v>
      </c>
      <c r="F391" t="s">
        <v>91</v>
      </c>
      <c r="G391" s="14">
        <v>10492.98</v>
      </c>
      <c r="H391">
        <v>1425</v>
      </c>
      <c r="I391">
        <v>7.36</v>
      </c>
      <c r="J391">
        <v>10492.98</v>
      </c>
    </row>
    <row r="392" spans="1:10" x14ac:dyDescent="0.25">
      <c r="A392" t="s">
        <v>527</v>
      </c>
      <c r="B392" t="s">
        <v>88</v>
      </c>
      <c r="C392" s="1">
        <v>46164</v>
      </c>
      <c r="D392" t="s">
        <v>2212</v>
      </c>
      <c r="E392" t="s">
        <v>184</v>
      </c>
      <c r="F392" t="s">
        <v>1848</v>
      </c>
      <c r="G392" s="14">
        <v>583251.36</v>
      </c>
      <c r="H392">
        <v>1425</v>
      </c>
      <c r="I392">
        <v>409.3</v>
      </c>
      <c r="J392">
        <v>705728.64</v>
      </c>
    </row>
    <row r="393" spans="1:10" x14ac:dyDescent="0.25">
      <c r="A393" t="s">
        <v>527</v>
      </c>
      <c r="B393" t="s">
        <v>88</v>
      </c>
      <c r="C393" s="1">
        <v>46164</v>
      </c>
      <c r="D393" t="s">
        <v>2212</v>
      </c>
      <c r="E393" t="s">
        <v>786</v>
      </c>
      <c r="F393" t="s">
        <v>1848</v>
      </c>
      <c r="G393" s="14">
        <v>2058395.04</v>
      </c>
      <c r="H393">
        <v>1425</v>
      </c>
      <c r="I393">
        <v>1444.49</v>
      </c>
      <c r="J393">
        <v>2058395.04</v>
      </c>
    </row>
    <row r="394" spans="1:10" x14ac:dyDescent="0.25">
      <c r="A394" t="s">
        <v>527</v>
      </c>
      <c r="B394" t="s">
        <v>279</v>
      </c>
      <c r="C394" s="1">
        <v>46164</v>
      </c>
      <c r="D394" t="s">
        <v>2216</v>
      </c>
      <c r="E394" t="s">
        <v>184</v>
      </c>
      <c r="F394" t="s">
        <v>1848</v>
      </c>
      <c r="G394" s="14">
        <v>-2115712.7999999998</v>
      </c>
      <c r="H394">
        <v>1425</v>
      </c>
      <c r="I394">
        <v>-1484.71</v>
      </c>
      <c r="J394">
        <v>-2560014.7200000002</v>
      </c>
    </row>
    <row r="395" spans="1:10" x14ac:dyDescent="0.25">
      <c r="A395" t="s">
        <v>527</v>
      </c>
      <c r="B395" t="s">
        <v>279</v>
      </c>
      <c r="C395" s="1">
        <v>46164</v>
      </c>
      <c r="D395" t="s">
        <v>2216</v>
      </c>
      <c r="E395" t="s">
        <v>786</v>
      </c>
      <c r="F395" t="s">
        <v>1848</v>
      </c>
      <c r="G395" s="14">
        <v>-2075834.4</v>
      </c>
      <c r="H395">
        <v>1425</v>
      </c>
      <c r="I395">
        <v>-1456.73</v>
      </c>
      <c r="J395">
        <v>-2075834.4</v>
      </c>
    </row>
    <row r="396" spans="1:10" x14ac:dyDescent="0.25">
      <c r="A396" t="s">
        <v>552</v>
      </c>
      <c r="B396" t="s">
        <v>88</v>
      </c>
      <c r="C396" s="1">
        <v>46164</v>
      </c>
      <c r="D396" t="s">
        <v>2224</v>
      </c>
      <c r="E396" t="s">
        <v>136</v>
      </c>
      <c r="F396" t="s">
        <v>65</v>
      </c>
      <c r="G396" s="14">
        <v>2316800</v>
      </c>
      <c r="H396">
        <v>1425</v>
      </c>
      <c r="I396">
        <v>1625.82</v>
      </c>
      <c r="J396">
        <v>2803328</v>
      </c>
    </row>
    <row r="397" spans="1:10" x14ac:dyDescent="0.25">
      <c r="A397" t="s">
        <v>935</v>
      </c>
      <c r="B397" t="s">
        <v>88</v>
      </c>
      <c r="C397" s="1">
        <v>46162</v>
      </c>
      <c r="D397" t="s">
        <v>2071</v>
      </c>
      <c r="E397" t="s">
        <v>136</v>
      </c>
      <c r="F397" t="s">
        <v>65</v>
      </c>
      <c r="G397" s="14">
        <v>7766784.7199999997</v>
      </c>
      <c r="H397">
        <v>1420</v>
      </c>
      <c r="I397">
        <v>5469.57</v>
      </c>
      <c r="J397">
        <v>9397803.3599999994</v>
      </c>
    </row>
    <row r="398" spans="1:10" x14ac:dyDescent="0.25">
      <c r="A398" t="s">
        <v>1605</v>
      </c>
      <c r="B398" t="s">
        <v>88</v>
      </c>
      <c r="C398" s="1">
        <v>46162</v>
      </c>
      <c r="D398" t="s">
        <v>2126</v>
      </c>
      <c r="E398" t="s">
        <v>136</v>
      </c>
      <c r="F398" t="s">
        <v>65</v>
      </c>
      <c r="G398" s="14">
        <v>1262603.7</v>
      </c>
      <c r="H398">
        <v>1420</v>
      </c>
      <c r="I398">
        <v>889.16</v>
      </c>
      <c r="J398">
        <v>1527748.38</v>
      </c>
    </row>
    <row r="399" spans="1:10" x14ac:dyDescent="0.25">
      <c r="A399" t="s">
        <v>1634</v>
      </c>
      <c r="B399" t="s">
        <v>88</v>
      </c>
      <c r="C399" s="1">
        <v>46162</v>
      </c>
      <c r="D399" t="s">
        <v>2144</v>
      </c>
      <c r="E399" t="s">
        <v>329</v>
      </c>
      <c r="F399" t="s">
        <v>65</v>
      </c>
      <c r="G399" s="14">
        <v>16819890</v>
      </c>
      <c r="H399">
        <v>1420</v>
      </c>
      <c r="I399">
        <v>11844.99</v>
      </c>
      <c r="J399">
        <v>16819890</v>
      </c>
    </row>
    <row r="400" spans="1:10" x14ac:dyDescent="0.25">
      <c r="A400" t="s">
        <v>1634</v>
      </c>
      <c r="B400" t="s">
        <v>88</v>
      </c>
      <c r="C400" s="1">
        <v>46162</v>
      </c>
      <c r="D400" t="s">
        <v>2144</v>
      </c>
      <c r="E400" t="s">
        <v>786</v>
      </c>
      <c r="F400" s="15" t="s">
        <v>65</v>
      </c>
      <c r="G400" s="14">
        <v>4723500</v>
      </c>
      <c r="H400">
        <v>1420</v>
      </c>
      <c r="I400">
        <v>3326.41</v>
      </c>
      <c r="J400">
        <v>4723500</v>
      </c>
    </row>
    <row r="401" spans="1:10" x14ac:dyDescent="0.25">
      <c r="A401" t="s">
        <v>527</v>
      </c>
      <c r="B401" t="s">
        <v>88</v>
      </c>
      <c r="C401" s="1">
        <v>46162</v>
      </c>
      <c r="D401" t="s">
        <v>2211</v>
      </c>
      <c r="E401" t="s">
        <v>297</v>
      </c>
      <c r="F401" t="s">
        <v>64</v>
      </c>
      <c r="G401" s="14">
        <v>286847.84000000003</v>
      </c>
      <c r="H401">
        <v>1420</v>
      </c>
      <c r="I401">
        <v>202.01</v>
      </c>
      <c r="J401">
        <v>347085.89</v>
      </c>
    </row>
    <row r="402" spans="1:10" x14ac:dyDescent="0.25">
      <c r="A402" t="s">
        <v>527</v>
      </c>
      <c r="B402" t="s">
        <v>88</v>
      </c>
      <c r="C402" s="1">
        <v>46162</v>
      </c>
      <c r="D402" t="s">
        <v>2211</v>
      </c>
      <c r="E402" t="s">
        <v>529</v>
      </c>
      <c r="F402" t="s">
        <v>64</v>
      </c>
      <c r="G402" s="14">
        <v>415200</v>
      </c>
      <c r="H402">
        <v>1420</v>
      </c>
      <c r="I402">
        <v>292.39</v>
      </c>
      <c r="J402">
        <v>502385.63</v>
      </c>
    </row>
    <row r="403" spans="1:10" x14ac:dyDescent="0.25">
      <c r="A403" t="s">
        <v>527</v>
      </c>
      <c r="B403" t="s">
        <v>470</v>
      </c>
      <c r="C403" s="1">
        <v>46162</v>
      </c>
      <c r="D403" t="s">
        <v>2221</v>
      </c>
      <c r="E403" t="s">
        <v>297</v>
      </c>
      <c r="F403" t="s">
        <v>31</v>
      </c>
      <c r="G403" s="14">
        <v>637.30999999999995</v>
      </c>
      <c r="H403">
        <v>1420</v>
      </c>
      <c r="I403">
        <v>0.45</v>
      </c>
      <c r="J403">
        <v>771.15</v>
      </c>
    </row>
    <row r="404" spans="1:10" x14ac:dyDescent="0.25">
      <c r="A404" t="s">
        <v>527</v>
      </c>
      <c r="B404" t="s">
        <v>470</v>
      </c>
      <c r="C404" s="1">
        <v>46162</v>
      </c>
      <c r="D404" t="s">
        <v>2221</v>
      </c>
      <c r="E404" t="s">
        <v>84</v>
      </c>
      <c r="F404" t="s">
        <v>31</v>
      </c>
      <c r="G404" s="14">
        <v>53108.93</v>
      </c>
      <c r="H404">
        <v>1420</v>
      </c>
      <c r="I404">
        <v>37.4</v>
      </c>
      <c r="J404">
        <v>53108.93</v>
      </c>
    </row>
    <row r="405" spans="1:10" x14ac:dyDescent="0.25">
      <c r="A405" t="s">
        <v>527</v>
      </c>
      <c r="B405" t="s">
        <v>88</v>
      </c>
      <c r="C405" s="1">
        <v>46161</v>
      </c>
      <c r="D405" t="s">
        <v>2210</v>
      </c>
      <c r="E405" t="s">
        <v>297</v>
      </c>
      <c r="F405" t="s">
        <v>64</v>
      </c>
      <c r="G405" s="14">
        <v>259975.7</v>
      </c>
      <c r="H405">
        <v>1420</v>
      </c>
      <c r="I405">
        <v>183.08</v>
      </c>
      <c r="J405">
        <v>314571.34000000003</v>
      </c>
    </row>
    <row r="406" spans="1:10" x14ac:dyDescent="0.25">
      <c r="A406" t="s">
        <v>527</v>
      </c>
      <c r="B406" t="s">
        <v>88</v>
      </c>
      <c r="C406" s="1">
        <v>46161</v>
      </c>
      <c r="D406" t="s">
        <v>2210</v>
      </c>
      <c r="E406" t="s">
        <v>84</v>
      </c>
      <c r="F406" t="s">
        <v>64</v>
      </c>
      <c r="G406" s="14">
        <v>4075771.08</v>
      </c>
      <c r="H406">
        <v>1420</v>
      </c>
      <c r="I406">
        <v>2870.26</v>
      </c>
      <c r="J406">
        <v>4075771.08</v>
      </c>
    </row>
    <row r="407" spans="1:10" x14ac:dyDescent="0.25">
      <c r="A407" t="s">
        <v>346</v>
      </c>
      <c r="B407" t="s">
        <v>88</v>
      </c>
      <c r="C407" s="1">
        <v>46160</v>
      </c>
      <c r="D407" t="s">
        <v>2136</v>
      </c>
      <c r="E407" t="s">
        <v>90</v>
      </c>
      <c r="F407" t="s">
        <v>91</v>
      </c>
      <c r="G407" s="14">
        <v>76218.5</v>
      </c>
      <c r="H407">
        <v>1420</v>
      </c>
      <c r="I407">
        <v>53.68</v>
      </c>
      <c r="J407">
        <v>92224.38</v>
      </c>
    </row>
    <row r="408" spans="1:10" x14ac:dyDescent="0.25">
      <c r="A408" t="s">
        <v>346</v>
      </c>
      <c r="B408" t="s">
        <v>88</v>
      </c>
      <c r="C408" s="1">
        <v>46160</v>
      </c>
      <c r="D408" t="s">
        <v>2136</v>
      </c>
      <c r="E408" t="s">
        <v>92</v>
      </c>
      <c r="F408" t="s">
        <v>91</v>
      </c>
      <c r="G408" s="14">
        <v>16783.53</v>
      </c>
      <c r="H408">
        <v>1420</v>
      </c>
      <c r="I408">
        <v>11.82</v>
      </c>
      <c r="J408">
        <v>16783.53</v>
      </c>
    </row>
    <row r="409" spans="1:10" x14ac:dyDescent="0.25">
      <c r="A409" t="s">
        <v>2099</v>
      </c>
      <c r="B409" t="s">
        <v>88</v>
      </c>
      <c r="C409" s="1">
        <v>46159</v>
      </c>
      <c r="D409" t="s">
        <v>2100</v>
      </c>
      <c r="E409" t="s">
        <v>90</v>
      </c>
      <c r="F409" t="s">
        <v>91</v>
      </c>
      <c r="G409" s="14">
        <v>116129.05</v>
      </c>
      <c r="H409">
        <v>1420</v>
      </c>
      <c r="I409">
        <v>81.78</v>
      </c>
      <c r="J409">
        <v>140516.16</v>
      </c>
    </row>
    <row r="410" spans="1:10" x14ac:dyDescent="0.25">
      <c r="A410" t="s">
        <v>2099</v>
      </c>
      <c r="B410" t="s">
        <v>88</v>
      </c>
      <c r="C410" s="1">
        <v>46159</v>
      </c>
      <c r="D410" t="s">
        <v>2100</v>
      </c>
      <c r="E410" t="s">
        <v>92</v>
      </c>
      <c r="F410" t="s">
        <v>91</v>
      </c>
      <c r="G410" s="14">
        <v>16489.89</v>
      </c>
      <c r="H410">
        <v>1420</v>
      </c>
      <c r="I410">
        <v>11.61</v>
      </c>
      <c r="J410">
        <v>16489.89</v>
      </c>
    </row>
    <row r="411" spans="1:10" x14ac:dyDescent="0.25">
      <c r="A411" t="s">
        <v>346</v>
      </c>
      <c r="B411" t="s">
        <v>88</v>
      </c>
      <c r="C411" s="1">
        <v>46159</v>
      </c>
      <c r="D411" t="s">
        <v>2135</v>
      </c>
      <c r="E411" t="s">
        <v>90</v>
      </c>
      <c r="F411" t="s">
        <v>91</v>
      </c>
      <c r="G411" s="14">
        <v>43892.74</v>
      </c>
      <c r="H411">
        <v>1420</v>
      </c>
      <c r="I411">
        <v>30.91</v>
      </c>
      <c r="J411">
        <v>53110.22</v>
      </c>
    </row>
    <row r="412" spans="1:10" x14ac:dyDescent="0.25">
      <c r="A412" t="s">
        <v>346</v>
      </c>
      <c r="B412" t="s">
        <v>88</v>
      </c>
      <c r="C412" s="1">
        <v>46159</v>
      </c>
      <c r="D412" t="s">
        <v>2135</v>
      </c>
      <c r="E412" t="s">
        <v>92</v>
      </c>
      <c r="F412" t="s">
        <v>91</v>
      </c>
      <c r="G412" s="14">
        <v>6896.55</v>
      </c>
      <c r="H412">
        <v>1420</v>
      </c>
      <c r="I412">
        <v>4.8600000000000003</v>
      </c>
      <c r="J412">
        <v>6896.55</v>
      </c>
    </row>
    <row r="413" spans="1:10" x14ac:dyDescent="0.25">
      <c r="A413" t="s">
        <v>510</v>
      </c>
      <c r="B413" t="s">
        <v>96</v>
      </c>
      <c r="C413" s="1">
        <v>46159</v>
      </c>
      <c r="D413" t="s">
        <v>2203</v>
      </c>
      <c r="E413" t="s">
        <v>127</v>
      </c>
      <c r="F413" t="s">
        <v>117</v>
      </c>
      <c r="G413" s="14">
        <v>468.6</v>
      </c>
      <c r="H413">
        <v>1420</v>
      </c>
      <c r="I413">
        <v>0.33</v>
      </c>
      <c r="J413">
        <v>468.6</v>
      </c>
    </row>
    <row r="414" spans="1:10" x14ac:dyDescent="0.25">
      <c r="A414" t="s">
        <v>497</v>
      </c>
      <c r="B414" t="s">
        <v>88</v>
      </c>
      <c r="C414" s="1">
        <v>46157</v>
      </c>
      <c r="D414" t="s">
        <v>2192</v>
      </c>
      <c r="E414" t="s">
        <v>136</v>
      </c>
      <c r="F414" t="s">
        <v>31</v>
      </c>
      <c r="G414" s="14">
        <v>95437.53</v>
      </c>
      <c r="H414">
        <v>1420</v>
      </c>
      <c r="I414">
        <v>67.209999999999994</v>
      </c>
      <c r="J414">
        <v>115479.41</v>
      </c>
    </row>
    <row r="415" spans="1:10" x14ac:dyDescent="0.25">
      <c r="A415" t="s">
        <v>1413</v>
      </c>
      <c r="B415" t="s">
        <v>96</v>
      </c>
      <c r="C415" s="1">
        <v>46157</v>
      </c>
      <c r="D415" t="s">
        <v>2198</v>
      </c>
      <c r="E415" t="s">
        <v>1412</v>
      </c>
      <c r="F415" t="s">
        <v>2097</v>
      </c>
      <c r="G415" s="14">
        <v>226300</v>
      </c>
      <c r="H415">
        <v>1420</v>
      </c>
      <c r="I415">
        <v>159.37</v>
      </c>
      <c r="J415">
        <v>226300</v>
      </c>
    </row>
    <row r="416" spans="1:10" x14ac:dyDescent="0.25">
      <c r="A416" t="s">
        <v>161</v>
      </c>
      <c r="B416" t="s">
        <v>88</v>
      </c>
      <c r="C416" s="1">
        <v>46156</v>
      </c>
      <c r="D416" t="s">
        <v>2088</v>
      </c>
      <c r="E416" t="s">
        <v>136</v>
      </c>
      <c r="F416" t="s">
        <v>65</v>
      </c>
      <c r="G416" s="14">
        <v>55185</v>
      </c>
      <c r="H416">
        <v>1415</v>
      </c>
      <c r="I416">
        <v>39</v>
      </c>
      <c r="J416">
        <v>66773.850000000006</v>
      </c>
    </row>
    <row r="417" spans="1:10" x14ac:dyDescent="0.25">
      <c r="A417" t="s">
        <v>1047</v>
      </c>
      <c r="B417" t="s">
        <v>263</v>
      </c>
      <c r="C417" s="1">
        <v>46156</v>
      </c>
      <c r="D417" t="s">
        <v>2098</v>
      </c>
      <c r="E417" t="s">
        <v>1000</v>
      </c>
      <c r="F417" t="s">
        <v>2097</v>
      </c>
      <c r="G417" s="14">
        <v>70640</v>
      </c>
      <c r="H417">
        <v>1415</v>
      </c>
      <c r="I417">
        <v>49.92</v>
      </c>
      <c r="J417">
        <v>70640</v>
      </c>
    </row>
    <row r="418" spans="1:10" x14ac:dyDescent="0.25">
      <c r="A418" t="s">
        <v>246</v>
      </c>
      <c r="B418" t="s">
        <v>88</v>
      </c>
      <c r="C418" s="1">
        <v>46156</v>
      </c>
      <c r="D418" t="s">
        <v>2104</v>
      </c>
      <c r="E418" t="s">
        <v>114</v>
      </c>
      <c r="F418" t="s">
        <v>117</v>
      </c>
      <c r="G418" s="14">
        <v>2479.34</v>
      </c>
      <c r="H418">
        <v>1415</v>
      </c>
      <c r="I418">
        <v>1.75</v>
      </c>
      <c r="J418">
        <v>3000</v>
      </c>
    </row>
    <row r="419" spans="1:10" x14ac:dyDescent="0.25">
      <c r="A419" t="s">
        <v>246</v>
      </c>
      <c r="B419" t="s">
        <v>88</v>
      </c>
      <c r="C419" s="1">
        <v>46156</v>
      </c>
      <c r="D419" t="s">
        <v>2105</v>
      </c>
      <c r="E419" t="s">
        <v>114</v>
      </c>
      <c r="F419" t="s">
        <v>117</v>
      </c>
      <c r="G419" s="14">
        <v>28512.400000000001</v>
      </c>
      <c r="H419">
        <v>1415</v>
      </c>
      <c r="I419">
        <v>20.149999999999999</v>
      </c>
      <c r="J419">
        <v>34500</v>
      </c>
    </row>
    <row r="420" spans="1:10" x14ac:dyDescent="0.25">
      <c r="A420" t="s">
        <v>295</v>
      </c>
      <c r="B420" t="s">
        <v>88</v>
      </c>
      <c r="C420" s="1">
        <v>46156</v>
      </c>
      <c r="D420" t="s">
        <v>2123</v>
      </c>
      <c r="E420" t="s">
        <v>297</v>
      </c>
      <c r="F420" t="s">
        <v>64</v>
      </c>
      <c r="G420" s="14">
        <v>32026.45</v>
      </c>
      <c r="H420">
        <v>1415</v>
      </c>
      <c r="I420">
        <v>22.63</v>
      </c>
      <c r="J420">
        <v>38752</v>
      </c>
    </row>
    <row r="421" spans="1:10" x14ac:dyDescent="0.25">
      <c r="A421" t="s">
        <v>2174</v>
      </c>
      <c r="B421" t="s">
        <v>88</v>
      </c>
      <c r="C421" s="1">
        <v>46156</v>
      </c>
      <c r="D421" t="s">
        <v>2175</v>
      </c>
      <c r="E421" t="s">
        <v>90</v>
      </c>
      <c r="F421" t="s">
        <v>91</v>
      </c>
      <c r="G421" s="14">
        <v>39529.81</v>
      </c>
      <c r="H421">
        <v>1415</v>
      </c>
      <c r="I421">
        <v>27.94</v>
      </c>
      <c r="J421">
        <v>47831.07</v>
      </c>
    </row>
    <row r="422" spans="1:10" x14ac:dyDescent="0.25">
      <c r="A422" t="s">
        <v>2174</v>
      </c>
      <c r="B422" t="s">
        <v>88</v>
      </c>
      <c r="C422" s="1">
        <v>46156</v>
      </c>
      <c r="D422" t="s">
        <v>2175</v>
      </c>
      <c r="E422" t="s">
        <v>92</v>
      </c>
      <c r="F422" t="s">
        <v>91</v>
      </c>
      <c r="G422" s="14">
        <v>7873.9</v>
      </c>
      <c r="H422">
        <v>1415</v>
      </c>
      <c r="I422">
        <v>5.56</v>
      </c>
      <c r="J422">
        <v>7873.9</v>
      </c>
    </row>
    <row r="423" spans="1:10" x14ac:dyDescent="0.25">
      <c r="A423" t="s">
        <v>504</v>
      </c>
      <c r="B423" t="s">
        <v>88</v>
      </c>
      <c r="C423" s="1">
        <v>46156</v>
      </c>
      <c r="D423" t="s">
        <v>2201</v>
      </c>
      <c r="E423" t="s">
        <v>506</v>
      </c>
      <c r="F423" t="s">
        <v>109</v>
      </c>
      <c r="G423" s="14">
        <v>290073</v>
      </c>
      <c r="H423">
        <v>1415</v>
      </c>
      <c r="I423">
        <v>205</v>
      </c>
      <c r="J423">
        <v>368392.71</v>
      </c>
    </row>
    <row r="424" spans="1:10" x14ac:dyDescent="0.25">
      <c r="A424" t="s">
        <v>504</v>
      </c>
      <c r="B424" t="s">
        <v>88</v>
      </c>
      <c r="C424" s="1">
        <v>46156</v>
      </c>
      <c r="D424" t="s">
        <v>2202</v>
      </c>
      <c r="E424" t="s">
        <v>422</v>
      </c>
      <c r="F424" t="s">
        <v>109</v>
      </c>
      <c r="G424" s="14">
        <v>20847.650000000001</v>
      </c>
      <c r="H424">
        <v>1415</v>
      </c>
      <c r="I424">
        <v>14.73</v>
      </c>
      <c r="J424">
        <v>25225.66</v>
      </c>
    </row>
    <row r="425" spans="1:10" x14ac:dyDescent="0.25">
      <c r="A425" t="s">
        <v>2063</v>
      </c>
      <c r="B425" t="s">
        <v>88</v>
      </c>
      <c r="C425" s="1">
        <v>46156</v>
      </c>
      <c r="D425" t="s">
        <v>2227</v>
      </c>
      <c r="E425" t="s">
        <v>653</v>
      </c>
      <c r="F425" t="s">
        <v>1831</v>
      </c>
      <c r="G425" s="14">
        <v>49586.78</v>
      </c>
      <c r="H425">
        <v>1415</v>
      </c>
      <c r="I425">
        <v>35.04</v>
      </c>
      <c r="J425">
        <v>60000</v>
      </c>
    </row>
    <row r="426" spans="1:10" x14ac:dyDescent="0.25">
      <c r="A426" t="s">
        <v>81</v>
      </c>
      <c r="B426" t="s">
        <v>88</v>
      </c>
      <c r="C426" s="1">
        <v>46155</v>
      </c>
      <c r="D426" t="s">
        <v>2077</v>
      </c>
      <c r="E426" t="s">
        <v>84</v>
      </c>
      <c r="F426" t="s">
        <v>64</v>
      </c>
      <c r="G426" s="14">
        <v>6971208</v>
      </c>
      <c r="H426">
        <v>1405</v>
      </c>
      <c r="I426">
        <v>4961.71</v>
      </c>
      <c r="J426">
        <v>6971208</v>
      </c>
    </row>
    <row r="427" spans="1:10" x14ac:dyDescent="0.25">
      <c r="A427" t="s">
        <v>2090</v>
      </c>
      <c r="B427" t="s">
        <v>96</v>
      </c>
      <c r="C427" s="1">
        <v>46155</v>
      </c>
      <c r="D427" t="s">
        <v>2091</v>
      </c>
      <c r="E427" t="s">
        <v>127</v>
      </c>
      <c r="F427" t="s">
        <v>115</v>
      </c>
      <c r="G427" s="14">
        <v>3524.5</v>
      </c>
      <c r="H427">
        <v>1405</v>
      </c>
      <c r="I427">
        <v>2.5099999999999998</v>
      </c>
      <c r="J427">
        <v>3524.5</v>
      </c>
    </row>
    <row r="428" spans="1:10" x14ac:dyDescent="0.25">
      <c r="A428" t="s">
        <v>1096</v>
      </c>
      <c r="B428" t="s">
        <v>88</v>
      </c>
      <c r="C428" s="1">
        <v>46155</v>
      </c>
      <c r="D428" t="s">
        <v>2108</v>
      </c>
      <c r="E428" t="s">
        <v>653</v>
      </c>
      <c r="F428" t="s">
        <v>2097</v>
      </c>
      <c r="G428" s="14">
        <v>528925.64</v>
      </c>
      <c r="H428">
        <v>1405</v>
      </c>
      <c r="I428">
        <v>376.46</v>
      </c>
      <c r="J428">
        <v>640000.02</v>
      </c>
    </row>
    <row r="429" spans="1:10" x14ac:dyDescent="0.25">
      <c r="A429" t="s">
        <v>1134</v>
      </c>
      <c r="B429" t="s">
        <v>88</v>
      </c>
      <c r="C429" s="1">
        <v>46155</v>
      </c>
      <c r="D429" t="s">
        <v>2128</v>
      </c>
      <c r="E429" t="s">
        <v>90</v>
      </c>
      <c r="F429" t="s">
        <v>91</v>
      </c>
      <c r="G429" s="14">
        <v>26916.46</v>
      </c>
      <c r="H429">
        <v>1405</v>
      </c>
      <c r="I429">
        <v>19.16</v>
      </c>
      <c r="J429">
        <v>32568.92</v>
      </c>
    </row>
    <row r="430" spans="1:10" x14ac:dyDescent="0.25">
      <c r="A430" t="s">
        <v>1134</v>
      </c>
      <c r="B430" t="s">
        <v>88</v>
      </c>
      <c r="C430" s="1">
        <v>46155</v>
      </c>
      <c r="D430" t="s">
        <v>2128</v>
      </c>
      <c r="E430" t="s">
        <v>92</v>
      </c>
      <c r="F430" t="s">
        <v>91</v>
      </c>
      <c r="G430" s="14">
        <v>5431.08</v>
      </c>
      <c r="H430">
        <v>1405</v>
      </c>
      <c r="I430">
        <v>3.87</v>
      </c>
      <c r="J430">
        <v>5431.08</v>
      </c>
    </row>
    <row r="431" spans="1:10" x14ac:dyDescent="0.25">
      <c r="A431" t="s">
        <v>490</v>
      </c>
      <c r="B431" t="s">
        <v>96</v>
      </c>
      <c r="C431" s="1">
        <v>46155</v>
      </c>
      <c r="D431" t="s">
        <v>2187</v>
      </c>
      <c r="E431" t="s">
        <v>84</v>
      </c>
      <c r="F431" t="s">
        <v>31</v>
      </c>
      <c r="G431" s="14">
        <v>2341.92</v>
      </c>
      <c r="H431">
        <v>1405</v>
      </c>
      <c r="I431">
        <v>1.67</v>
      </c>
      <c r="J431">
        <v>2341.92</v>
      </c>
    </row>
    <row r="432" spans="1:10" x14ac:dyDescent="0.25">
      <c r="A432" t="s">
        <v>490</v>
      </c>
      <c r="B432" t="s">
        <v>96</v>
      </c>
      <c r="C432" s="1">
        <v>46155</v>
      </c>
      <c r="D432" t="s">
        <v>2188</v>
      </c>
      <c r="E432" t="s">
        <v>84</v>
      </c>
      <c r="F432" t="s">
        <v>31</v>
      </c>
      <c r="G432" s="14">
        <v>12015.04</v>
      </c>
      <c r="H432">
        <v>1405</v>
      </c>
      <c r="I432">
        <v>8.5500000000000007</v>
      </c>
      <c r="J432">
        <v>12015.04</v>
      </c>
    </row>
    <row r="433" spans="1:10" x14ac:dyDescent="0.25">
      <c r="A433" t="s">
        <v>527</v>
      </c>
      <c r="B433" t="s">
        <v>88</v>
      </c>
      <c r="C433" s="1">
        <v>46155</v>
      </c>
      <c r="D433" t="s">
        <v>2208</v>
      </c>
      <c r="E433" t="s">
        <v>297</v>
      </c>
      <c r="F433" t="s">
        <v>1848</v>
      </c>
      <c r="G433" s="14">
        <v>287676.88</v>
      </c>
      <c r="H433">
        <v>1405</v>
      </c>
      <c r="I433">
        <v>204.75</v>
      </c>
      <c r="J433">
        <v>348089.02</v>
      </c>
    </row>
    <row r="434" spans="1:10" x14ac:dyDescent="0.25">
      <c r="A434" t="s">
        <v>527</v>
      </c>
      <c r="B434" t="s">
        <v>88</v>
      </c>
      <c r="C434" s="1">
        <v>46155</v>
      </c>
      <c r="D434" t="s">
        <v>2208</v>
      </c>
      <c r="E434" t="s">
        <v>529</v>
      </c>
      <c r="F434" t="s">
        <v>1848</v>
      </c>
      <c r="G434" s="14">
        <v>416393.62</v>
      </c>
      <c r="H434">
        <v>1405</v>
      </c>
      <c r="I434">
        <v>296.37</v>
      </c>
      <c r="J434">
        <v>503837.62</v>
      </c>
    </row>
    <row r="435" spans="1:10" x14ac:dyDescent="0.25">
      <c r="A435" t="s">
        <v>527</v>
      </c>
      <c r="B435" t="s">
        <v>88</v>
      </c>
      <c r="C435" s="1">
        <v>46155</v>
      </c>
      <c r="D435" t="s">
        <v>2209</v>
      </c>
      <c r="E435" t="s">
        <v>184</v>
      </c>
      <c r="F435" t="s">
        <v>1848</v>
      </c>
      <c r="G435" s="14">
        <v>1255468.5</v>
      </c>
      <c r="H435">
        <v>1405</v>
      </c>
      <c r="I435">
        <v>893.57</v>
      </c>
      <c r="J435">
        <v>1519116.88</v>
      </c>
    </row>
    <row r="436" spans="1:10" x14ac:dyDescent="0.25">
      <c r="A436" t="s">
        <v>527</v>
      </c>
      <c r="B436" t="s">
        <v>530</v>
      </c>
      <c r="C436" s="1">
        <v>46155</v>
      </c>
      <c r="D436" t="s">
        <v>2217</v>
      </c>
      <c r="E436" t="s">
        <v>297</v>
      </c>
      <c r="F436" t="s">
        <v>1848</v>
      </c>
      <c r="G436" s="14">
        <v>6348.82</v>
      </c>
      <c r="H436">
        <v>1405</v>
      </c>
      <c r="I436">
        <v>4.5199999999999996</v>
      </c>
      <c r="J436">
        <v>7682.07</v>
      </c>
    </row>
    <row r="437" spans="1:10" x14ac:dyDescent="0.25">
      <c r="A437" t="s">
        <v>527</v>
      </c>
      <c r="B437" t="s">
        <v>530</v>
      </c>
      <c r="C437" s="1">
        <v>46155</v>
      </c>
      <c r="D437" t="s">
        <v>2217</v>
      </c>
      <c r="E437" t="s">
        <v>84</v>
      </c>
      <c r="F437" t="s">
        <v>1848</v>
      </c>
      <c r="G437" s="14">
        <v>529068.66</v>
      </c>
      <c r="H437">
        <v>1405</v>
      </c>
      <c r="I437">
        <v>376.56</v>
      </c>
      <c r="J437">
        <v>529068.66</v>
      </c>
    </row>
    <row r="438" spans="1:10" x14ac:dyDescent="0.25">
      <c r="A438" t="s">
        <v>400</v>
      </c>
      <c r="B438" t="s">
        <v>88</v>
      </c>
      <c r="C438" s="1">
        <v>46154</v>
      </c>
      <c r="D438" t="s">
        <v>2153</v>
      </c>
      <c r="E438" t="s">
        <v>184</v>
      </c>
      <c r="F438" t="s">
        <v>31</v>
      </c>
      <c r="G438" s="14">
        <v>29039.33</v>
      </c>
      <c r="H438">
        <v>1405</v>
      </c>
      <c r="I438">
        <v>20.67</v>
      </c>
      <c r="J438">
        <v>35137.589999999997</v>
      </c>
    </row>
    <row r="439" spans="1:10" x14ac:dyDescent="0.25">
      <c r="A439" t="s">
        <v>400</v>
      </c>
      <c r="B439" t="s">
        <v>88</v>
      </c>
      <c r="C439" s="1">
        <v>46154</v>
      </c>
      <c r="D439" t="s">
        <v>2153</v>
      </c>
      <c r="E439" t="s">
        <v>184</v>
      </c>
      <c r="F439" t="s">
        <v>64</v>
      </c>
      <c r="G439" s="14">
        <v>450109.64</v>
      </c>
      <c r="H439">
        <v>1405</v>
      </c>
      <c r="I439">
        <v>320.36</v>
      </c>
      <c r="J439">
        <v>544632.66</v>
      </c>
    </row>
    <row r="440" spans="1:10" x14ac:dyDescent="0.25">
      <c r="A440" t="s">
        <v>400</v>
      </c>
      <c r="B440" t="s">
        <v>88</v>
      </c>
      <c r="C440" s="1">
        <v>46154</v>
      </c>
      <c r="D440" t="s">
        <v>2153</v>
      </c>
      <c r="E440" t="s">
        <v>184</v>
      </c>
      <c r="F440" t="s">
        <v>65</v>
      </c>
      <c r="G440" s="14">
        <v>246834.32</v>
      </c>
      <c r="H440">
        <v>1405</v>
      </c>
      <c r="I440">
        <v>175.68</v>
      </c>
      <c r="J440">
        <v>298669.53000000003</v>
      </c>
    </row>
    <row r="441" spans="1:10" x14ac:dyDescent="0.25">
      <c r="A441" t="s">
        <v>473</v>
      </c>
      <c r="B441" t="s">
        <v>88</v>
      </c>
      <c r="C441" s="1">
        <v>46154</v>
      </c>
      <c r="D441" t="s">
        <v>2173</v>
      </c>
      <c r="E441" t="s">
        <v>152</v>
      </c>
      <c r="F441" t="s">
        <v>475</v>
      </c>
      <c r="G441" s="14">
        <v>2247748.39</v>
      </c>
      <c r="H441">
        <v>1405</v>
      </c>
      <c r="I441">
        <v>1599.82</v>
      </c>
      <c r="J441">
        <v>2719775.54</v>
      </c>
    </row>
    <row r="442" spans="1:10" x14ac:dyDescent="0.25">
      <c r="A442" t="s">
        <v>473</v>
      </c>
      <c r="B442" t="s">
        <v>88</v>
      </c>
      <c r="C442" s="1">
        <v>46154</v>
      </c>
      <c r="D442" t="s">
        <v>2173</v>
      </c>
      <c r="E442" t="s">
        <v>153</v>
      </c>
      <c r="F442" t="s">
        <v>475</v>
      </c>
      <c r="G442" s="14">
        <v>80406.429999999993</v>
      </c>
      <c r="H442">
        <v>1405</v>
      </c>
      <c r="I442">
        <v>57.23</v>
      </c>
      <c r="J442">
        <v>80406.429999999993</v>
      </c>
    </row>
    <row r="443" spans="1:10" x14ac:dyDescent="0.25">
      <c r="A443" t="s">
        <v>2178</v>
      </c>
      <c r="B443" t="s">
        <v>88</v>
      </c>
      <c r="C443" s="1">
        <v>46154</v>
      </c>
      <c r="D443" t="s">
        <v>2179</v>
      </c>
      <c r="E443" t="s">
        <v>136</v>
      </c>
      <c r="F443" t="s">
        <v>2097</v>
      </c>
      <c r="G443" s="14">
        <v>41409.24</v>
      </c>
      <c r="H443">
        <v>1405</v>
      </c>
      <c r="I443">
        <v>29.47</v>
      </c>
      <c r="J443">
        <v>50105.18</v>
      </c>
    </row>
    <row r="444" spans="1:10" x14ac:dyDescent="0.25">
      <c r="A444" t="s">
        <v>2183</v>
      </c>
      <c r="B444" t="s">
        <v>263</v>
      </c>
      <c r="C444" s="1">
        <v>46154</v>
      </c>
      <c r="D444" t="s">
        <v>2184</v>
      </c>
      <c r="E444" t="s">
        <v>323</v>
      </c>
      <c r="F444" t="s">
        <v>2097</v>
      </c>
      <c r="G444" s="14">
        <v>3600</v>
      </c>
      <c r="H444">
        <v>1405</v>
      </c>
      <c r="I444">
        <v>2.56</v>
      </c>
      <c r="J444">
        <v>3600</v>
      </c>
    </row>
    <row r="445" spans="1:10" x14ac:dyDescent="0.25">
      <c r="A445" t="s">
        <v>2194</v>
      </c>
      <c r="B445" t="s">
        <v>88</v>
      </c>
      <c r="C445" s="1">
        <v>46154</v>
      </c>
      <c r="D445" t="s">
        <v>2195</v>
      </c>
      <c r="E445" t="s">
        <v>2196</v>
      </c>
      <c r="F445" t="s">
        <v>2062</v>
      </c>
      <c r="G445" s="14">
        <v>1734713.12</v>
      </c>
      <c r="H445">
        <v>1405</v>
      </c>
      <c r="I445">
        <v>1234.67</v>
      </c>
      <c r="J445">
        <v>1916858</v>
      </c>
    </row>
    <row r="446" spans="1:10" x14ac:dyDescent="0.25">
      <c r="A446" t="s">
        <v>466</v>
      </c>
      <c r="B446" t="s">
        <v>88</v>
      </c>
      <c r="C446" s="1">
        <v>46153</v>
      </c>
      <c r="D446" t="s">
        <v>2171</v>
      </c>
      <c r="E446" t="s">
        <v>136</v>
      </c>
      <c r="F446" t="s">
        <v>109</v>
      </c>
      <c r="G446" s="14">
        <v>1292325.18</v>
      </c>
      <c r="H446">
        <v>1415</v>
      </c>
      <c r="I446">
        <v>913.3</v>
      </c>
      <c r="J446">
        <v>1563718.92</v>
      </c>
    </row>
    <row r="447" spans="1:10" x14ac:dyDescent="0.25">
      <c r="A447" t="s">
        <v>473</v>
      </c>
      <c r="B447" t="s">
        <v>88</v>
      </c>
      <c r="C447" s="1">
        <v>46153</v>
      </c>
      <c r="D447" t="s">
        <v>2172</v>
      </c>
      <c r="E447" t="s">
        <v>152</v>
      </c>
      <c r="F447" t="s">
        <v>475</v>
      </c>
      <c r="G447" s="14">
        <v>29878.54</v>
      </c>
      <c r="H447">
        <v>1415</v>
      </c>
      <c r="I447">
        <v>21.12</v>
      </c>
      <c r="J447">
        <v>36153.03</v>
      </c>
    </row>
    <row r="448" spans="1:10" x14ac:dyDescent="0.25">
      <c r="A448" t="s">
        <v>473</v>
      </c>
      <c r="B448" t="s">
        <v>88</v>
      </c>
      <c r="C448" s="1">
        <v>46153</v>
      </c>
      <c r="D448" t="s">
        <v>2172</v>
      </c>
      <c r="E448" t="s">
        <v>153</v>
      </c>
      <c r="F448" t="s">
        <v>475</v>
      </c>
      <c r="G448" s="14">
        <v>308.06</v>
      </c>
      <c r="H448">
        <v>1415</v>
      </c>
      <c r="I448">
        <v>0.22</v>
      </c>
      <c r="J448">
        <v>308.06</v>
      </c>
    </row>
    <row r="449" spans="1:10" x14ac:dyDescent="0.25">
      <c r="A449" t="s">
        <v>1413</v>
      </c>
      <c r="B449" t="s">
        <v>96</v>
      </c>
      <c r="C449" s="1">
        <v>46153</v>
      </c>
      <c r="D449" t="s">
        <v>2198</v>
      </c>
      <c r="E449" t="s">
        <v>1000</v>
      </c>
      <c r="F449" t="s">
        <v>2097</v>
      </c>
      <c r="G449" s="14">
        <v>58868.85</v>
      </c>
      <c r="H449">
        <v>1415</v>
      </c>
      <c r="I449">
        <v>41.6</v>
      </c>
      <c r="J449">
        <v>58868.85</v>
      </c>
    </row>
    <row r="450" spans="1:10" x14ac:dyDescent="0.25">
      <c r="A450" t="s">
        <v>1413</v>
      </c>
      <c r="B450" t="s">
        <v>96</v>
      </c>
      <c r="C450" s="1">
        <v>46153</v>
      </c>
      <c r="D450" t="s">
        <v>2199</v>
      </c>
      <c r="E450" t="s">
        <v>1412</v>
      </c>
      <c r="F450" t="s">
        <v>2097</v>
      </c>
      <c r="G450" s="14">
        <v>448800</v>
      </c>
      <c r="H450">
        <v>1415</v>
      </c>
      <c r="I450">
        <v>317.17</v>
      </c>
      <c r="J450">
        <v>448800</v>
      </c>
    </row>
    <row r="451" spans="1:10" x14ac:dyDescent="0.25">
      <c r="A451" t="s">
        <v>1055</v>
      </c>
      <c r="B451" t="s">
        <v>88</v>
      </c>
      <c r="C451" s="1">
        <v>46152</v>
      </c>
      <c r="D451" t="s">
        <v>2101</v>
      </c>
      <c r="E451" t="s">
        <v>90</v>
      </c>
      <c r="F451" t="s">
        <v>91</v>
      </c>
      <c r="G451" s="14">
        <v>62272.480000000003</v>
      </c>
      <c r="H451">
        <v>1420</v>
      </c>
      <c r="I451">
        <v>43.85</v>
      </c>
      <c r="J451">
        <v>75349.7</v>
      </c>
    </row>
    <row r="452" spans="1:10" x14ac:dyDescent="0.25">
      <c r="A452" t="s">
        <v>1055</v>
      </c>
      <c r="B452" t="s">
        <v>88</v>
      </c>
      <c r="C452" s="1">
        <v>46152</v>
      </c>
      <c r="D452" t="s">
        <v>2101</v>
      </c>
      <c r="E452" t="s">
        <v>92</v>
      </c>
      <c r="F452" t="s">
        <v>91</v>
      </c>
      <c r="G452" s="14">
        <v>12527.3</v>
      </c>
      <c r="H452">
        <v>1420</v>
      </c>
      <c r="I452">
        <v>8.82</v>
      </c>
      <c r="J452">
        <v>12527.3</v>
      </c>
    </row>
    <row r="453" spans="1:10" x14ac:dyDescent="0.25">
      <c r="A453" t="s">
        <v>287</v>
      </c>
      <c r="B453" t="s">
        <v>88</v>
      </c>
      <c r="C453" s="1">
        <v>46152</v>
      </c>
      <c r="D453" t="s">
        <v>2119</v>
      </c>
      <c r="E453" t="s">
        <v>329</v>
      </c>
      <c r="F453" t="s">
        <v>31</v>
      </c>
      <c r="G453" s="14">
        <v>-415072.86</v>
      </c>
      <c r="H453">
        <v>1420</v>
      </c>
      <c r="I453">
        <v>-292.3</v>
      </c>
      <c r="J453">
        <v>-415072.86</v>
      </c>
    </row>
    <row r="454" spans="1:10" x14ac:dyDescent="0.25">
      <c r="A454" t="s">
        <v>287</v>
      </c>
      <c r="B454" t="s">
        <v>88</v>
      </c>
      <c r="C454" s="1">
        <v>46152</v>
      </c>
      <c r="D454" t="s">
        <v>2119</v>
      </c>
      <c r="E454" t="s">
        <v>184</v>
      </c>
      <c r="F454" t="s">
        <v>31</v>
      </c>
      <c r="G454" s="14">
        <v>436042.86</v>
      </c>
      <c r="H454">
        <v>1420</v>
      </c>
      <c r="I454">
        <v>307.07</v>
      </c>
      <c r="J454">
        <v>527611.86</v>
      </c>
    </row>
    <row r="455" spans="1:10" x14ac:dyDescent="0.25">
      <c r="A455" t="s">
        <v>935</v>
      </c>
      <c r="B455" t="s">
        <v>88</v>
      </c>
      <c r="C455" s="1">
        <v>46150</v>
      </c>
      <c r="D455" t="s">
        <v>2070</v>
      </c>
      <c r="E455" t="s">
        <v>136</v>
      </c>
      <c r="F455" t="s">
        <v>65</v>
      </c>
      <c r="G455" s="14">
        <v>77603.64</v>
      </c>
      <c r="H455">
        <v>1420</v>
      </c>
      <c r="I455">
        <v>54.65</v>
      </c>
      <c r="J455">
        <v>93894.96</v>
      </c>
    </row>
    <row r="456" spans="1:10" x14ac:dyDescent="0.25">
      <c r="A456" t="s">
        <v>161</v>
      </c>
      <c r="B456" t="s">
        <v>88</v>
      </c>
      <c r="C456" s="1">
        <v>46150</v>
      </c>
      <c r="D456" t="s">
        <v>2087</v>
      </c>
      <c r="E456" t="s">
        <v>136</v>
      </c>
      <c r="F456" t="s">
        <v>65</v>
      </c>
      <c r="G456" s="14">
        <v>34534.400000000001</v>
      </c>
      <c r="H456">
        <v>1420</v>
      </c>
      <c r="I456">
        <v>24.32</v>
      </c>
      <c r="J456">
        <v>41790.6</v>
      </c>
    </row>
    <row r="457" spans="1:10" x14ac:dyDescent="0.25">
      <c r="A457" t="s">
        <v>1047</v>
      </c>
      <c r="B457" t="s">
        <v>263</v>
      </c>
      <c r="C457" s="1">
        <v>46150</v>
      </c>
      <c r="D457" t="s">
        <v>2096</v>
      </c>
      <c r="E457" t="s">
        <v>1000</v>
      </c>
      <c r="F457" t="s">
        <v>2097</v>
      </c>
      <c r="G457" s="14">
        <v>64205</v>
      </c>
      <c r="H457">
        <v>1420</v>
      </c>
      <c r="I457">
        <v>45.21</v>
      </c>
      <c r="J457">
        <v>64205</v>
      </c>
    </row>
    <row r="458" spans="1:10" x14ac:dyDescent="0.25">
      <c r="A458" t="s">
        <v>295</v>
      </c>
      <c r="B458" t="s">
        <v>88</v>
      </c>
      <c r="C458" s="1">
        <v>46150</v>
      </c>
      <c r="D458" t="s">
        <v>2122</v>
      </c>
      <c r="E458" t="s">
        <v>297</v>
      </c>
      <c r="F458" t="s">
        <v>1848</v>
      </c>
      <c r="G458" s="14">
        <v>32119.01</v>
      </c>
      <c r="H458">
        <v>1420</v>
      </c>
      <c r="I458">
        <v>22.62</v>
      </c>
      <c r="J458">
        <v>38864</v>
      </c>
    </row>
    <row r="459" spans="1:10" x14ac:dyDescent="0.25">
      <c r="A459" t="s">
        <v>1134</v>
      </c>
      <c r="B459" t="s">
        <v>88</v>
      </c>
      <c r="C459" s="1">
        <v>46150</v>
      </c>
      <c r="D459" t="s">
        <v>2127</v>
      </c>
      <c r="E459" t="s">
        <v>90</v>
      </c>
      <c r="F459" t="s">
        <v>91</v>
      </c>
      <c r="G459" s="14">
        <v>29167.29</v>
      </c>
      <c r="H459">
        <v>1420</v>
      </c>
      <c r="I459">
        <v>20.54</v>
      </c>
      <c r="J459">
        <v>35292.43</v>
      </c>
    </row>
    <row r="460" spans="1:10" x14ac:dyDescent="0.25">
      <c r="A460" t="s">
        <v>1134</v>
      </c>
      <c r="B460" t="s">
        <v>88</v>
      </c>
      <c r="C460" s="1">
        <v>46150</v>
      </c>
      <c r="D460" t="s">
        <v>2127</v>
      </c>
      <c r="E460" t="s">
        <v>92</v>
      </c>
      <c r="F460" t="s">
        <v>91</v>
      </c>
      <c r="G460" s="14">
        <v>4707.57</v>
      </c>
      <c r="H460">
        <v>1420</v>
      </c>
      <c r="I460">
        <v>3.32</v>
      </c>
      <c r="J460">
        <v>4707.57</v>
      </c>
    </row>
    <row r="461" spans="1:10" x14ac:dyDescent="0.25">
      <c r="A461" t="s">
        <v>497</v>
      </c>
      <c r="B461" t="s">
        <v>88</v>
      </c>
      <c r="C461" s="1">
        <v>46150</v>
      </c>
      <c r="D461" t="s">
        <v>2191</v>
      </c>
      <c r="E461" t="s">
        <v>136</v>
      </c>
      <c r="F461" t="s">
        <v>31</v>
      </c>
      <c r="G461" s="14">
        <v>62365.5</v>
      </c>
      <c r="H461">
        <v>1420</v>
      </c>
      <c r="I461">
        <v>43.92</v>
      </c>
      <c r="J461">
        <v>75462.259999999995</v>
      </c>
    </row>
    <row r="462" spans="1:10" x14ac:dyDescent="0.25">
      <c r="A462" t="s">
        <v>2063</v>
      </c>
      <c r="B462" t="s">
        <v>88</v>
      </c>
      <c r="C462" s="1">
        <v>46150</v>
      </c>
      <c r="D462" t="s">
        <v>2225</v>
      </c>
      <c r="E462" t="s">
        <v>653</v>
      </c>
      <c r="F462" t="s">
        <v>1831</v>
      </c>
      <c r="G462" s="14">
        <v>198347.11</v>
      </c>
      <c r="H462">
        <v>1420</v>
      </c>
      <c r="I462">
        <v>139.68</v>
      </c>
      <c r="J462">
        <v>240000</v>
      </c>
    </row>
    <row r="463" spans="1:10" x14ac:dyDescent="0.25">
      <c r="A463" t="s">
        <v>2063</v>
      </c>
      <c r="B463" t="s">
        <v>88</v>
      </c>
      <c r="C463" s="1">
        <v>46150</v>
      </c>
      <c r="D463" t="s">
        <v>2226</v>
      </c>
      <c r="E463" t="s">
        <v>653</v>
      </c>
      <c r="F463" t="s">
        <v>1831</v>
      </c>
      <c r="G463" s="14">
        <v>49586.78</v>
      </c>
      <c r="H463">
        <v>1420</v>
      </c>
      <c r="I463">
        <v>34.92</v>
      </c>
      <c r="J463">
        <v>60000</v>
      </c>
    </row>
    <row r="464" spans="1:10" x14ac:dyDescent="0.25">
      <c r="A464" t="s">
        <v>564</v>
      </c>
      <c r="B464" t="s">
        <v>88</v>
      </c>
      <c r="C464" s="1">
        <v>46149</v>
      </c>
      <c r="D464" t="s">
        <v>2074</v>
      </c>
      <c r="E464" t="s">
        <v>297</v>
      </c>
      <c r="F464" t="s">
        <v>1848</v>
      </c>
      <c r="G464" s="14">
        <v>394095</v>
      </c>
      <c r="H464">
        <v>1420</v>
      </c>
      <c r="I464">
        <v>277.52999999999997</v>
      </c>
      <c r="J464">
        <v>476862</v>
      </c>
    </row>
    <row r="465" spans="1:10" x14ac:dyDescent="0.25">
      <c r="A465" t="s">
        <v>81</v>
      </c>
      <c r="B465" t="s">
        <v>88</v>
      </c>
      <c r="C465" s="1">
        <v>46149</v>
      </c>
      <c r="D465" t="s">
        <v>2077</v>
      </c>
      <c r="E465" t="s">
        <v>84</v>
      </c>
      <c r="F465" t="s">
        <v>1848</v>
      </c>
      <c r="G465" s="14">
        <v>2528380.7999999998</v>
      </c>
      <c r="H465">
        <v>1420</v>
      </c>
      <c r="I465">
        <v>1780.55</v>
      </c>
      <c r="J465">
        <v>2528380.7999999998</v>
      </c>
    </row>
    <row r="466" spans="1:10" x14ac:dyDescent="0.25">
      <c r="A466" t="s">
        <v>81</v>
      </c>
      <c r="B466" t="s">
        <v>88</v>
      </c>
      <c r="C466" s="1">
        <v>46149</v>
      </c>
      <c r="D466" t="s">
        <v>2077</v>
      </c>
      <c r="E466" t="s">
        <v>570</v>
      </c>
      <c r="G466" s="14">
        <v>0</v>
      </c>
      <c r="H466">
        <v>1420</v>
      </c>
      <c r="I466">
        <v>0</v>
      </c>
      <c r="J466">
        <v>3307229.24</v>
      </c>
    </row>
    <row r="467" spans="1:10" x14ac:dyDescent="0.25">
      <c r="A467" t="s">
        <v>161</v>
      </c>
      <c r="B467" t="s">
        <v>88</v>
      </c>
      <c r="C467" s="1">
        <v>46149</v>
      </c>
      <c r="D467" t="s">
        <v>2086</v>
      </c>
      <c r="E467" t="s">
        <v>136</v>
      </c>
      <c r="F467" t="s">
        <v>65</v>
      </c>
      <c r="G467" s="14">
        <v>1291221.6000000001</v>
      </c>
      <c r="H467">
        <v>1420</v>
      </c>
      <c r="I467">
        <v>909.31</v>
      </c>
      <c r="J467">
        <v>1562378.7</v>
      </c>
    </row>
    <row r="468" spans="1:10" x14ac:dyDescent="0.25">
      <c r="A468" t="s">
        <v>175</v>
      </c>
      <c r="B468" t="s">
        <v>88</v>
      </c>
      <c r="C468" s="1">
        <v>46149</v>
      </c>
      <c r="D468" t="s">
        <v>2093</v>
      </c>
      <c r="E468" t="s">
        <v>177</v>
      </c>
      <c r="F468" t="s">
        <v>109</v>
      </c>
      <c r="G468" s="14">
        <v>25109.81</v>
      </c>
      <c r="H468">
        <v>1420</v>
      </c>
      <c r="I468">
        <v>17.68</v>
      </c>
      <c r="J468">
        <v>31889.46</v>
      </c>
    </row>
    <row r="469" spans="1:10" x14ac:dyDescent="0.25">
      <c r="A469" t="s">
        <v>175</v>
      </c>
      <c r="B469" t="s">
        <v>88</v>
      </c>
      <c r="C469" s="1">
        <v>46149</v>
      </c>
      <c r="D469" t="s">
        <v>2093</v>
      </c>
      <c r="E469" t="s">
        <v>180</v>
      </c>
      <c r="F469" t="s">
        <v>109</v>
      </c>
      <c r="G469" s="14">
        <v>260.5</v>
      </c>
      <c r="H469">
        <v>1420</v>
      </c>
      <c r="I469">
        <v>0.18</v>
      </c>
      <c r="J469">
        <v>260.5</v>
      </c>
    </row>
    <row r="470" spans="1:10" x14ac:dyDescent="0.25">
      <c r="A470" t="s">
        <v>207</v>
      </c>
      <c r="B470" t="s">
        <v>88</v>
      </c>
      <c r="C470" s="1">
        <v>46149</v>
      </c>
      <c r="D470" t="s">
        <v>2095</v>
      </c>
      <c r="E470" t="s">
        <v>1847</v>
      </c>
      <c r="F470" t="s">
        <v>2076</v>
      </c>
      <c r="G470" s="14">
        <v>2469659.19</v>
      </c>
      <c r="H470">
        <v>1420</v>
      </c>
      <c r="I470">
        <v>1739.2</v>
      </c>
      <c r="J470">
        <v>2469659.19</v>
      </c>
    </row>
    <row r="471" spans="1:10" x14ac:dyDescent="0.25">
      <c r="A471" t="s">
        <v>490</v>
      </c>
      <c r="B471" t="s">
        <v>96</v>
      </c>
      <c r="C471" s="1">
        <v>46149</v>
      </c>
      <c r="D471" t="s">
        <v>2185</v>
      </c>
      <c r="E471" t="s">
        <v>84</v>
      </c>
      <c r="F471" t="s">
        <v>1848</v>
      </c>
      <c r="G471" s="14">
        <v>1327.62</v>
      </c>
      <c r="H471">
        <v>1420</v>
      </c>
      <c r="I471">
        <v>0.93</v>
      </c>
      <c r="J471">
        <v>1327.62</v>
      </c>
    </row>
    <row r="472" spans="1:10" x14ac:dyDescent="0.25">
      <c r="A472" t="s">
        <v>490</v>
      </c>
      <c r="B472" t="s">
        <v>96</v>
      </c>
      <c r="C472" s="1">
        <v>46149</v>
      </c>
      <c r="D472" t="s">
        <v>2186</v>
      </c>
      <c r="E472" t="s">
        <v>84</v>
      </c>
      <c r="F472" t="s">
        <v>1848</v>
      </c>
      <c r="G472" s="14">
        <v>12015.04</v>
      </c>
      <c r="H472">
        <v>1420</v>
      </c>
      <c r="I472">
        <v>8.4600000000000009</v>
      </c>
      <c r="J472">
        <v>12015.04</v>
      </c>
    </row>
    <row r="473" spans="1:10" x14ac:dyDescent="0.25">
      <c r="A473" t="s">
        <v>1413</v>
      </c>
      <c r="B473" t="s">
        <v>96</v>
      </c>
      <c r="C473" s="1">
        <v>46149</v>
      </c>
      <c r="D473" t="s">
        <v>2197</v>
      </c>
      <c r="E473" t="s">
        <v>1412</v>
      </c>
      <c r="F473" t="s">
        <v>2097</v>
      </c>
      <c r="G473" s="14">
        <v>299400</v>
      </c>
      <c r="H473">
        <v>1420</v>
      </c>
      <c r="I473">
        <v>210.85</v>
      </c>
      <c r="J473">
        <v>299400</v>
      </c>
    </row>
    <row r="474" spans="1:10" x14ac:dyDescent="0.25">
      <c r="A474" t="s">
        <v>287</v>
      </c>
      <c r="B474" t="s">
        <v>88</v>
      </c>
      <c r="C474" s="1">
        <v>46148</v>
      </c>
      <c r="D474" t="s">
        <v>2118</v>
      </c>
      <c r="E474" t="s">
        <v>329</v>
      </c>
      <c r="F474" t="s">
        <v>109</v>
      </c>
      <c r="G474" s="14">
        <v>-629245.6</v>
      </c>
      <c r="H474">
        <v>1410</v>
      </c>
      <c r="I474">
        <v>-446.27</v>
      </c>
      <c r="J474">
        <v>-629245.6</v>
      </c>
    </row>
    <row r="475" spans="1:10" x14ac:dyDescent="0.25">
      <c r="A475" t="s">
        <v>287</v>
      </c>
      <c r="B475" t="s">
        <v>88</v>
      </c>
      <c r="C475" s="1">
        <v>46148</v>
      </c>
      <c r="D475" t="s">
        <v>2118</v>
      </c>
      <c r="E475" t="s">
        <v>329</v>
      </c>
      <c r="F475" t="s">
        <v>31</v>
      </c>
      <c r="G475" s="14">
        <v>-94025.21</v>
      </c>
      <c r="H475">
        <v>1410</v>
      </c>
      <c r="I475">
        <v>-66.680000000000007</v>
      </c>
      <c r="J475">
        <v>-94025.21</v>
      </c>
    </row>
    <row r="476" spans="1:10" x14ac:dyDescent="0.25">
      <c r="A476" t="s">
        <v>287</v>
      </c>
      <c r="B476" t="s">
        <v>88</v>
      </c>
      <c r="C476" s="1">
        <v>46148</v>
      </c>
      <c r="D476" t="s">
        <v>2118</v>
      </c>
      <c r="E476" t="s">
        <v>184</v>
      </c>
      <c r="F476" t="s">
        <v>109</v>
      </c>
      <c r="G476" s="14">
        <v>98510.97</v>
      </c>
      <c r="H476">
        <v>1410</v>
      </c>
      <c r="I476">
        <v>69.87</v>
      </c>
      <c r="J476">
        <v>119198.27</v>
      </c>
    </row>
    <row r="477" spans="1:10" x14ac:dyDescent="0.25">
      <c r="A477" t="s">
        <v>287</v>
      </c>
      <c r="B477" t="s">
        <v>88</v>
      </c>
      <c r="C477" s="1">
        <v>46148</v>
      </c>
      <c r="D477" t="s">
        <v>2118</v>
      </c>
      <c r="E477" t="s">
        <v>184</v>
      </c>
      <c r="F477" t="s">
        <v>31</v>
      </c>
      <c r="G477" s="14">
        <v>14720.03</v>
      </c>
      <c r="H477">
        <v>1410</v>
      </c>
      <c r="I477">
        <v>10.44</v>
      </c>
      <c r="J477">
        <v>17811.240000000002</v>
      </c>
    </row>
    <row r="478" spans="1:10" x14ac:dyDescent="0.25">
      <c r="A478" t="s">
        <v>287</v>
      </c>
      <c r="B478" t="s">
        <v>88</v>
      </c>
      <c r="C478" s="1">
        <v>46148</v>
      </c>
      <c r="D478" t="s">
        <v>2118</v>
      </c>
      <c r="E478" t="s">
        <v>1884</v>
      </c>
      <c r="F478" t="s">
        <v>109</v>
      </c>
      <c r="G478" s="14">
        <v>551361.34</v>
      </c>
      <c r="H478">
        <v>1410</v>
      </c>
      <c r="I478">
        <v>391.04</v>
      </c>
      <c r="J478">
        <v>609254.28</v>
      </c>
    </row>
    <row r="479" spans="1:10" x14ac:dyDescent="0.25">
      <c r="A479" t="s">
        <v>287</v>
      </c>
      <c r="B479" t="s">
        <v>88</v>
      </c>
      <c r="C479" s="1">
        <v>46148</v>
      </c>
      <c r="D479" t="s">
        <v>2118</v>
      </c>
      <c r="E479" t="s">
        <v>1884</v>
      </c>
      <c r="F479" t="s">
        <v>31</v>
      </c>
      <c r="G479" s="14">
        <v>82387.33</v>
      </c>
      <c r="H479">
        <v>1410</v>
      </c>
      <c r="I479">
        <v>58.43</v>
      </c>
      <c r="J479">
        <v>91038</v>
      </c>
    </row>
    <row r="480" spans="1:10" x14ac:dyDescent="0.25">
      <c r="A480" t="s">
        <v>364</v>
      </c>
      <c r="B480" t="s">
        <v>88</v>
      </c>
      <c r="C480" s="1">
        <v>46148</v>
      </c>
      <c r="D480" t="s">
        <v>2143</v>
      </c>
      <c r="E480" t="s">
        <v>102</v>
      </c>
      <c r="F480" t="s">
        <v>109</v>
      </c>
      <c r="G480" s="14">
        <v>18000</v>
      </c>
      <c r="H480">
        <v>1410</v>
      </c>
      <c r="I480">
        <v>12.77</v>
      </c>
      <c r="J480">
        <v>18000</v>
      </c>
    </row>
    <row r="481" spans="1:10" x14ac:dyDescent="0.25">
      <c r="A481" t="s">
        <v>453</v>
      </c>
      <c r="B481" t="s">
        <v>88</v>
      </c>
      <c r="C481" s="1">
        <v>46148</v>
      </c>
      <c r="D481" t="s">
        <v>2165</v>
      </c>
      <c r="E481" t="s">
        <v>136</v>
      </c>
      <c r="F481" t="s">
        <v>65</v>
      </c>
      <c r="G481" s="14">
        <v>7548365.5</v>
      </c>
      <c r="H481">
        <v>1410</v>
      </c>
      <c r="I481">
        <v>5353.45</v>
      </c>
      <c r="J481">
        <v>9133522.2599999998</v>
      </c>
    </row>
    <row r="482" spans="1:10" x14ac:dyDescent="0.25">
      <c r="A482" t="s">
        <v>1995</v>
      </c>
      <c r="B482" t="s">
        <v>88</v>
      </c>
      <c r="C482" s="1">
        <v>46148</v>
      </c>
      <c r="D482" t="s">
        <v>2182</v>
      </c>
      <c r="E482" t="s">
        <v>90</v>
      </c>
      <c r="F482" t="s">
        <v>91</v>
      </c>
      <c r="G482" s="14">
        <v>85580.27</v>
      </c>
      <c r="H482">
        <v>1410</v>
      </c>
      <c r="I482">
        <v>60.7</v>
      </c>
      <c r="J482">
        <v>103552.08</v>
      </c>
    </row>
    <row r="483" spans="1:10" x14ac:dyDescent="0.25">
      <c r="A483" t="s">
        <v>1995</v>
      </c>
      <c r="B483" t="s">
        <v>88</v>
      </c>
      <c r="C483" s="1">
        <v>46148</v>
      </c>
      <c r="D483" t="s">
        <v>2182</v>
      </c>
      <c r="E483" t="s">
        <v>92</v>
      </c>
      <c r="F483" t="s">
        <v>91</v>
      </c>
      <c r="G483" s="14">
        <v>19636.810000000001</v>
      </c>
      <c r="H483">
        <v>1410</v>
      </c>
      <c r="I483">
        <v>13.93</v>
      </c>
      <c r="J483">
        <v>19636.810000000001</v>
      </c>
    </row>
    <row r="484" spans="1:10" x14ac:dyDescent="0.25">
      <c r="A484" t="s">
        <v>497</v>
      </c>
      <c r="B484" t="s">
        <v>88</v>
      </c>
      <c r="C484" s="1">
        <v>46148</v>
      </c>
      <c r="D484" t="s">
        <v>2190</v>
      </c>
      <c r="E484" t="s">
        <v>136</v>
      </c>
      <c r="F484" t="s">
        <v>31</v>
      </c>
      <c r="G484" s="14">
        <v>47965.5</v>
      </c>
      <c r="H484">
        <v>1410</v>
      </c>
      <c r="I484">
        <v>34.020000000000003</v>
      </c>
      <c r="J484">
        <v>58038.26</v>
      </c>
    </row>
    <row r="485" spans="1:10" x14ac:dyDescent="0.25">
      <c r="A485" t="s">
        <v>501</v>
      </c>
      <c r="B485" t="s">
        <v>88</v>
      </c>
      <c r="C485" s="1">
        <v>46148</v>
      </c>
      <c r="D485" t="s">
        <v>2193</v>
      </c>
      <c r="E485" t="s">
        <v>205</v>
      </c>
      <c r="F485" t="s">
        <v>109</v>
      </c>
      <c r="G485" s="14">
        <v>251030.28</v>
      </c>
      <c r="H485">
        <v>1410</v>
      </c>
      <c r="I485">
        <v>178.04</v>
      </c>
      <c r="J485">
        <v>303746.64</v>
      </c>
    </row>
    <row r="486" spans="1:10" x14ac:dyDescent="0.25">
      <c r="A486" t="s">
        <v>527</v>
      </c>
      <c r="B486" t="s">
        <v>470</v>
      </c>
      <c r="C486" s="1">
        <v>46148</v>
      </c>
      <c r="D486" t="s">
        <v>2218</v>
      </c>
      <c r="E486" t="s">
        <v>2219</v>
      </c>
      <c r="F486" t="s">
        <v>945</v>
      </c>
      <c r="G486" s="14">
        <v>73608.55</v>
      </c>
      <c r="H486">
        <v>1410</v>
      </c>
      <c r="I486">
        <v>52.2</v>
      </c>
      <c r="J486">
        <v>73608.55</v>
      </c>
    </row>
    <row r="487" spans="1:10" x14ac:dyDescent="0.25">
      <c r="A487" t="s">
        <v>527</v>
      </c>
      <c r="B487" t="s">
        <v>470</v>
      </c>
      <c r="C487" s="1">
        <v>46148</v>
      </c>
      <c r="D487" t="s">
        <v>2220</v>
      </c>
      <c r="E487" t="s">
        <v>2219</v>
      </c>
      <c r="F487" t="s">
        <v>945</v>
      </c>
      <c r="G487" s="14">
        <v>97297.2</v>
      </c>
      <c r="H487">
        <v>1410</v>
      </c>
      <c r="I487">
        <v>69.010000000000005</v>
      </c>
      <c r="J487">
        <v>97297.2</v>
      </c>
    </row>
    <row r="488" spans="1:10" x14ac:dyDescent="0.25">
      <c r="A488" t="s">
        <v>1793</v>
      </c>
      <c r="B488" t="s">
        <v>88</v>
      </c>
      <c r="C488" s="1">
        <v>46148</v>
      </c>
      <c r="D488" t="s">
        <v>2228</v>
      </c>
      <c r="E488" t="s">
        <v>329</v>
      </c>
      <c r="F488" t="s">
        <v>31</v>
      </c>
      <c r="G488" s="14">
        <v>341112</v>
      </c>
      <c r="H488">
        <v>1410</v>
      </c>
      <c r="I488">
        <v>241.92</v>
      </c>
      <c r="J488">
        <v>341112</v>
      </c>
    </row>
    <row r="489" spans="1:10" x14ac:dyDescent="0.25">
      <c r="A489" t="s">
        <v>1793</v>
      </c>
      <c r="B489" t="s">
        <v>88</v>
      </c>
      <c r="C489" s="1">
        <v>46148</v>
      </c>
      <c r="D489" t="s">
        <v>2228</v>
      </c>
      <c r="E489" t="s">
        <v>786</v>
      </c>
      <c r="F489" t="s">
        <v>31</v>
      </c>
      <c r="G489" s="14">
        <v>69900</v>
      </c>
      <c r="H489">
        <v>1410</v>
      </c>
      <c r="I489">
        <v>49.57</v>
      </c>
      <c r="J489">
        <v>69900</v>
      </c>
    </row>
    <row r="490" spans="1:10" x14ac:dyDescent="0.25">
      <c r="A490" t="s">
        <v>132</v>
      </c>
      <c r="B490" t="s">
        <v>88</v>
      </c>
      <c r="C490" s="1">
        <v>46147</v>
      </c>
      <c r="D490" t="s">
        <v>1833</v>
      </c>
      <c r="E490" t="s">
        <v>136</v>
      </c>
      <c r="F490" t="s">
        <v>135</v>
      </c>
      <c r="G490" s="14">
        <v>13336.37</v>
      </c>
      <c r="H490">
        <v>1415</v>
      </c>
      <c r="I490">
        <v>9.42</v>
      </c>
      <c r="J490">
        <v>16137.01</v>
      </c>
    </row>
    <row r="491" spans="1:10" x14ac:dyDescent="0.25">
      <c r="A491" t="s">
        <v>695</v>
      </c>
      <c r="B491" t="s">
        <v>88</v>
      </c>
      <c r="C491" s="1">
        <v>46147</v>
      </c>
      <c r="D491" t="s">
        <v>1889</v>
      </c>
      <c r="E491" t="s">
        <v>329</v>
      </c>
      <c r="F491" t="s">
        <v>109</v>
      </c>
      <c r="G491" s="14">
        <v>580674.56000000006</v>
      </c>
      <c r="H491">
        <v>1415</v>
      </c>
      <c r="I491">
        <v>410.37</v>
      </c>
      <c r="J491">
        <v>580674.56000000006</v>
      </c>
    </row>
    <row r="492" spans="1:10" x14ac:dyDescent="0.25">
      <c r="A492" t="s">
        <v>695</v>
      </c>
      <c r="B492" t="s">
        <v>88</v>
      </c>
      <c r="C492" s="1">
        <v>46147</v>
      </c>
      <c r="D492" t="s">
        <v>1889</v>
      </c>
      <c r="E492" t="s">
        <v>329</v>
      </c>
      <c r="F492" t="s">
        <v>31</v>
      </c>
      <c r="G492" s="14">
        <v>86767.46</v>
      </c>
      <c r="H492">
        <v>1415</v>
      </c>
      <c r="I492">
        <v>61.32</v>
      </c>
      <c r="J492">
        <v>86767.46</v>
      </c>
    </row>
    <row r="493" spans="1:10" x14ac:dyDescent="0.25">
      <c r="A493" t="s">
        <v>383</v>
      </c>
      <c r="B493" t="s">
        <v>88</v>
      </c>
      <c r="C493" s="1">
        <v>46147</v>
      </c>
      <c r="D493" t="s">
        <v>1921</v>
      </c>
      <c r="E493" t="s">
        <v>136</v>
      </c>
      <c r="F493" t="s">
        <v>135</v>
      </c>
      <c r="G493" s="14">
        <v>225901.29</v>
      </c>
      <c r="H493">
        <v>1415</v>
      </c>
      <c r="I493">
        <v>159.65</v>
      </c>
      <c r="J493">
        <v>273340.56</v>
      </c>
    </row>
    <row r="494" spans="1:10" x14ac:dyDescent="0.25">
      <c r="A494" t="s">
        <v>1974</v>
      </c>
      <c r="B494" t="s">
        <v>88</v>
      </c>
      <c r="C494" s="1">
        <v>46147</v>
      </c>
      <c r="D494" t="s">
        <v>1975</v>
      </c>
      <c r="E494" t="s">
        <v>205</v>
      </c>
      <c r="F494" t="s">
        <v>206</v>
      </c>
      <c r="G494" s="14">
        <v>1760520</v>
      </c>
      <c r="H494">
        <v>1415</v>
      </c>
      <c r="I494">
        <v>1244.18</v>
      </c>
      <c r="J494">
        <v>2130229.2000000002</v>
      </c>
    </row>
    <row r="495" spans="1:10" x14ac:dyDescent="0.25">
      <c r="A495" t="s">
        <v>1362</v>
      </c>
      <c r="B495" t="s">
        <v>88</v>
      </c>
      <c r="C495" s="1">
        <v>46147</v>
      </c>
      <c r="D495" t="s">
        <v>1982</v>
      </c>
      <c r="E495" t="s">
        <v>136</v>
      </c>
      <c r="F495" t="s">
        <v>31</v>
      </c>
      <c r="G495" s="14">
        <v>508012.5</v>
      </c>
      <c r="H495">
        <v>1415</v>
      </c>
      <c r="I495">
        <v>359.02</v>
      </c>
      <c r="J495">
        <v>614695.13</v>
      </c>
    </row>
    <row r="496" spans="1:10" x14ac:dyDescent="0.25">
      <c r="A496" t="s">
        <v>1995</v>
      </c>
      <c r="B496" t="s">
        <v>88</v>
      </c>
      <c r="C496" s="1">
        <v>46147</v>
      </c>
      <c r="D496" t="s">
        <v>1996</v>
      </c>
      <c r="E496" t="s">
        <v>90</v>
      </c>
      <c r="F496" t="s">
        <v>91</v>
      </c>
      <c r="G496" s="14">
        <v>71559.149999999994</v>
      </c>
      <c r="H496">
        <v>1415</v>
      </c>
      <c r="I496">
        <v>50.57</v>
      </c>
      <c r="J496">
        <v>86586.52</v>
      </c>
    </row>
    <row r="497" spans="1:10" x14ac:dyDescent="0.25">
      <c r="A497" t="s">
        <v>1995</v>
      </c>
      <c r="B497" t="s">
        <v>88</v>
      </c>
      <c r="C497" s="1">
        <v>46147</v>
      </c>
      <c r="D497" t="s">
        <v>1996</v>
      </c>
      <c r="E497" t="s">
        <v>92</v>
      </c>
      <c r="F497" t="s">
        <v>91</v>
      </c>
      <c r="G497" s="14">
        <v>16419.580000000002</v>
      </c>
      <c r="H497">
        <v>1415</v>
      </c>
      <c r="I497">
        <v>11.6</v>
      </c>
      <c r="J497">
        <v>16419.580000000002</v>
      </c>
    </row>
    <row r="498" spans="1:10" x14ac:dyDescent="0.25">
      <c r="A498" t="s">
        <v>1788</v>
      </c>
      <c r="B498" t="s">
        <v>88</v>
      </c>
      <c r="C498" s="1">
        <v>46147</v>
      </c>
      <c r="D498" t="s">
        <v>2056</v>
      </c>
      <c r="E498" t="s">
        <v>136</v>
      </c>
      <c r="F498" t="s">
        <v>63</v>
      </c>
      <c r="G498" s="14">
        <v>128925.62</v>
      </c>
      <c r="H498">
        <v>1415</v>
      </c>
      <c r="I498">
        <v>91.11</v>
      </c>
      <c r="J498">
        <v>156000</v>
      </c>
    </row>
    <row r="499" spans="1:10" x14ac:dyDescent="0.25">
      <c r="A499" t="s">
        <v>106</v>
      </c>
      <c r="B499" t="s">
        <v>88</v>
      </c>
      <c r="C499" s="1">
        <v>46146</v>
      </c>
      <c r="D499" t="s">
        <v>1819</v>
      </c>
      <c r="E499" t="s">
        <v>102</v>
      </c>
      <c r="F499" t="s">
        <v>109</v>
      </c>
      <c r="G499" s="14">
        <v>61295</v>
      </c>
      <c r="H499">
        <v>1425</v>
      </c>
      <c r="I499">
        <v>43.01</v>
      </c>
      <c r="J499">
        <v>61295</v>
      </c>
    </row>
    <row r="500" spans="1:10" x14ac:dyDescent="0.25">
      <c r="A500" t="s">
        <v>132</v>
      </c>
      <c r="B500" t="s">
        <v>88</v>
      </c>
      <c r="C500" s="1">
        <v>46146</v>
      </c>
      <c r="D500" t="s">
        <v>1830</v>
      </c>
      <c r="E500" t="s">
        <v>136</v>
      </c>
      <c r="F500" t="s">
        <v>1831</v>
      </c>
      <c r="G500" s="14">
        <v>39824.980000000003</v>
      </c>
      <c r="H500">
        <v>1425</v>
      </c>
      <c r="I500">
        <v>27.95</v>
      </c>
      <c r="J500">
        <v>48188.23</v>
      </c>
    </row>
    <row r="501" spans="1:10" x14ac:dyDescent="0.25">
      <c r="A501" t="s">
        <v>1706</v>
      </c>
      <c r="B501" t="s">
        <v>88</v>
      </c>
      <c r="C501" s="1">
        <v>46146</v>
      </c>
      <c r="D501" t="s">
        <v>1970</v>
      </c>
      <c r="E501" t="s">
        <v>1708</v>
      </c>
      <c r="F501" t="s">
        <v>109</v>
      </c>
      <c r="G501" s="14">
        <v>199542.55</v>
      </c>
      <c r="H501">
        <v>1425</v>
      </c>
      <c r="I501">
        <v>140.03</v>
      </c>
      <c r="J501">
        <v>241446.49</v>
      </c>
    </row>
    <row r="502" spans="1:10" x14ac:dyDescent="0.25">
      <c r="A502" t="s">
        <v>527</v>
      </c>
      <c r="B502" t="s">
        <v>88</v>
      </c>
      <c r="C502" s="1">
        <v>46146</v>
      </c>
      <c r="D502" t="s">
        <v>2035</v>
      </c>
      <c r="E502" t="s">
        <v>184</v>
      </c>
      <c r="F502" t="s">
        <v>1848</v>
      </c>
      <c r="G502" s="14">
        <v>2115712.7999999998</v>
      </c>
      <c r="H502">
        <v>1425</v>
      </c>
      <c r="I502">
        <v>1484.71</v>
      </c>
      <c r="J502">
        <v>2560014.7200000002</v>
      </c>
    </row>
    <row r="503" spans="1:10" x14ac:dyDescent="0.25">
      <c r="A503" t="s">
        <v>527</v>
      </c>
      <c r="B503" t="s">
        <v>88</v>
      </c>
      <c r="C503" s="1">
        <v>46146</v>
      </c>
      <c r="D503" t="s">
        <v>2035</v>
      </c>
      <c r="E503" t="s">
        <v>786</v>
      </c>
      <c r="F503" t="s">
        <v>1848</v>
      </c>
      <c r="G503" s="14">
        <v>2075834.4</v>
      </c>
      <c r="H503">
        <v>1425</v>
      </c>
      <c r="I503">
        <v>1456.73</v>
      </c>
      <c r="J503">
        <v>2075834.4</v>
      </c>
    </row>
    <row r="504" spans="1:10" x14ac:dyDescent="0.25">
      <c r="A504" t="s">
        <v>2063</v>
      </c>
      <c r="B504" t="s">
        <v>88</v>
      </c>
      <c r="C504" s="1">
        <v>46146</v>
      </c>
      <c r="D504" t="s">
        <v>2064</v>
      </c>
      <c r="E504" t="s">
        <v>653</v>
      </c>
      <c r="F504" t="s">
        <v>1831</v>
      </c>
      <c r="G504" s="14">
        <v>99173.55</v>
      </c>
      <c r="H504">
        <v>1425</v>
      </c>
      <c r="I504">
        <v>69.599999999999994</v>
      </c>
      <c r="J504">
        <v>120000</v>
      </c>
    </row>
    <row r="505" spans="1:10" x14ac:dyDescent="0.25">
      <c r="A505" t="s">
        <v>504</v>
      </c>
      <c r="B505" t="s">
        <v>88</v>
      </c>
      <c r="C505" s="1">
        <v>46145</v>
      </c>
      <c r="D505" t="s">
        <v>2013</v>
      </c>
      <c r="E505" t="s">
        <v>422</v>
      </c>
      <c r="F505" t="s">
        <v>109</v>
      </c>
      <c r="G505" s="14">
        <v>61708</v>
      </c>
      <c r="H505">
        <v>1415</v>
      </c>
      <c r="I505">
        <v>43.61</v>
      </c>
      <c r="J505">
        <v>74666.679999999993</v>
      </c>
    </row>
    <row r="506" spans="1:10" x14ac:dyDescent="0.25">
      <c r="A506" t="s">
        <v>510</v>
      </c>
      <c r="B506" t="s">
        <v>96</v>
      </c>
      <c r="C506" s="1">
        <v>46145</v>
      </c>
      <c r="D506" t="s">
        <v>2016</v>
      </c>
      <c r="E506" t="s">
        <v>127</v>
      </c>
      <c r="F506" t="s">
        <v>117</v>
      </c>
      <c r="G506" s="14">
        <v>224.93</v>
      </c>
      <c r="H506">
        <v>1415</v>
      </c>
      <c r="I506">
        <v>0.16</v>
      </c>
      <c r="J506">
        <v>224.93</v>
      </c>
    </row>
    <row r="507" spans="1:10" x14ac:dyDescent="0.25">
      <c r="A507" t="s">
        <v>275</v>
      </c>
      <c r="B507" t="s">
        <v>88</v>
      </c>
      <c r="C507" s="1">
        <v>46144</v>
      </c>
      <c r="D507" t="s">
        <v>1876</v>
      </c>
      <c r="E507" t="s">
        <v>90</v>
      </c>
      <c r="F507" t="s">
        <v>91</v>
      </c>
      <c r="G507" s="14">
        <v>1182126.73</v>
      </c>
      <c r="H507">
        <v>1415</v>
      </c>
      <c r="I507">
        <v>835.43</v>
      </c>
      <c r="J507">
        <v>1430373.34</v>
      </c>
    </row>
    <row r="508" spans="1:10" x14ac:dyDescent="0.25">
      <c r="A508" t="s">
        <v>275</v>
      </c>
      <c r="B508" t="s">
        <v>88</v>
      </c>
      <c r="C508" s="1">
        <v>46144</v>
      </c>
      <c r="D508" t="s">
        <v>1876</v>
      </c>
      <c r="E508" t="s">
        <v>92</v>
      </c>
      <c r="F508" t="s">
        <v>91</v>
      </c>
      <c r="G508" s="14">
        <v>183163.79</v>
      </c>
      <c r="H508">
        <v>1415</v>
      </c>
      <c r="I508">
        <v>129.44</v>
      </c>
      <c r="J508">
        <v>183163.79</v>
      </c>
    </row>
    <row r="509" spans="1:10" x14ac:dyDescent="0.25">
      <c r="A509" t="s">
        <v>478</v>
      </c>
      <c r="B509" t="s">
        <v>88</v>
      </c>
      <c r="C509" s="1">
        <v>46144</v>
      </c>
      <c r="D509" t="s">
        <v>1981</v>
      </c>
      <c r="E509" t="s">
        <v>267</v>
      </c>
      <c r="F509" t="s">
        <v>109</v>
      </c>
      <c r="G509" s="14">
        <v>19876.03</v>
      </c>
      <c r="H509">
        <v>1415</v>
      </c>
      <c r="I509">
        <v>14.05</v>
      </c>
      <c r="J509">
        <v>24050</v>
      </c>
    </row>
    <row r="510" spans="1:10" x14ac:dyDescent="0.25">
      <c r="A510" t="s">
        <v>265</v>
      </c>
      <c r="B510" t="s">
        <v>88</v>
      </c>
      <c r="C510" s="1">
        <v>46143</v>
      </c>
      <c r="D510" t="s">
        <v>1871</v>
      </c>
      <c r="E510" t="s">
        <v>267</v>
      </c>
      <c r="F510" t="s">
        <v>109</v>
      </c>
      <c r="G510" s="14">
        <v>72800</v>
      </c>
      <c r="H510">
        <v>1415</v>
      </c>
      <c r="I510">
        <v>51.45</v>
      </c>
      <c r="J510">
        <v>88088</v>
      </c>
    </row>
    <row r="511" spans="1:10" x14ac:dyDescent="0.25">
      <c r="A511" t="s">
        <v>791</v>
      </c>
      <c r="B511" t="s">
        <v>96</v>
      </c>
      <c r="C511" s="1">
        <v>46143</v>
      </c>
      <c r="D511" t="s">
        <v>1947</v>
      </c>
      <c r="E511" t="s">
        <v>98</v>
      </c>
      <c r="F511" t="s">
        <v>551</v>
      </c>
      <c r="G511" s="14">
        <v>39014.83</v>
      </c>
      <c r="H511">
        <v>1415</v>
      </c>
      <c r="I511">
        <v>27.57</v>
      </c>
      <c r="J511">
        <v>39014.83</v>
      </c>
    </row>
    <row r="512" spans="1:10" x14ac:dyDescent="0.25">
      <c r="A512" t="s">
        <v>935</v>
      </c>
      <c r="B512" t="s">
        <v>88</v>
      </c>
      <c r="C512" s="1">
        <v>46142</v>
      </c>
      <c r="D512" t="s">
        <v>1812</v>
      </c>
      <c r="E512" t="s">
        <v>136</v>
      </c>
      <c r="F512" t="s">
        <v>31</v>
      </c>
      <c r="G512" s="14">
        <v>109455.39</v>
      </c>
      <c r="H512">
        <v>1415</v>
      </c>
      <c r="I512">
        <v>77.349999999999994</v>
      </c>
      <c r="J512">
        <v>132442.97</v>
      </c>
    </row>
    <row r="513" spans="1:10" x14ac:dyDescent="0.25">
      <c r="A513" t="s">
        <v>226</v>
      </c>
      <c r="B513" t="s">
        <v>88</v>
      </c>
      <c r="C513" s="1">
        <v>46142</v>
      </c>
      <c r="D513" t="s">
        <v>1858</v>
      </c>
      <c r="E513" t="s">
        <v>232</v>
      </c>
      <c r="F513" t="s">
        <v>109</v>
      </c>
      <c r="G513" s="14">
        <v>4033.33</v>
      </c>
      <c r="H513">
        <v>1415</v>
      </c>
      <c r="I513">
        <v>2.85</v>
      </c>
      <c r="J513">
        <v>5122.33</v>
      </c>
    </row>
    <row r="514" spans="1:10" x14ac:dyDescent="0.25">
      <c r="A514" t="s">
        <v>226</v>
      </c>
      <c r="B514" t="s">
        <v>88</v>
      </c>
      <c r="C514" s="1">
        <v>46142</v>
      </c>
      <c r="D514" t="s">
        <v>1858</v>
      </c>
      <c r="E514" t="s">
        <v>233</v>
      </c>
      <c r="F514" t="s">
        <v>109</v>
      </c>
      <c r="G514" s="14">
        <v>3812.89</v>
      </c>
      <c r="H514">
        <v>1415</v>
      </c>
      <c r="I514">
        <v>2.69</v>
      </c>
      <c r="J514">
        <v>3812.89</v>
      </c>
    </row>
    <row r="515" spans="1:10" x14ac:dyDescent="0.25">
      <c r="A515" t="s">
        <v>226</v>
      </c>
      <c r="B515" t="s">
        <v>88</v>
      </c>
      <c r="C515" s="1">
        <v>46142</v>
      </c>
      <c r="D515" t="s">
        <v>1859</v>
      </c>
      <c r="E515" t="s">
        <v>232</v>
      </c>
      <c r="F515" t="s">
        <v>109</v>
      </c>
      <c r="G515" s="14">
        <v>3833.18</v>
      </c>
      <c r="H515">
        <v>1415</v>
      </c>
      <c r="I515">
        <v>2.71</v>
      </c>
      <c r="J515">
        <v>4868.1400000000003</v>
      </c>
    </row>
    <row r="516" spans="1:10" x14ac:dyDescent="0.25">
      <c r="A516" t="s">
        <v>226</v>
      </c>
      <c r="B516" t="s">
        <v>88</v>
      </c>
      <c r="C516" s="1">
        <v>46142</v>
      </c>
      <c r="D516" t="s">
        <v>1859</v>
      </c>
      <c r="E516" t="s">
        <v>233</v>
      </c>
      <c r="F516" t="s">
        <v>109</v>
      </c>
      <c r="G516" s="14">
        <v>3651.15</v>
      </c>
      <c r="H516">
        <v>1415</v>
      </c>
      <c r="I516">
        <v>2.58</v>
      </c>
      <c r="J516">
        <v>3651.15</v>
      </c>
    </row>
    <row r="517" spans="1:10" x14ac:dyDescent="0.25">
      <c r="A517" t="s">
        <v>349</v>
      </c>
      <c r="B517" t="s">
        <v>88</v>
      </c>
      <c r="C517" s="1">
        <v>46142</v>
      </c>
      <c r="D517" t="s">
        <v>1903</v>
      </c>
      <c r="E517" t="s">
        <v>102</v>
      </c>
      <c r="F517" t="s">
        <v>109</v>
      </c>
      <c r="G517" s="14">
        <v>227808</v>
      </c>
      <c r="H517">
        <v>1415</v>
      </c>
      <c r="I517">
        <v>161</v>
      </c>
      <c r="J517">
        <v>227808</v>
      </c>
    </row>
    <row r="518" spans="1:10" x14ac:dyDescent="0.25">
      <c r="A518" t="s">
        <v>400</v>
      </c>
      <c r="B518" t="s">
        <v>88</v>
      </c>
      <c r="C518" s="1">
        <v>46142</v>
      </c>
      <c r="D518" t="s">
        <v>1935</v>
      </c>
      <c r="E518" t="s">
        <v>184</v>
      </c>
      <c r="F518" t="s">
        <v>65</v>
      </c>
      <c r="G518" s="14">
        <v>34704</v>
      </c>
      <c r="H518">
        <v>1415</v>
      </c>
      <c r="I518">
        <v>24.53</v>
      </c>
      <c r="J518">
        <v>41991.839999999997</v>
      </c>
    </row>
    <row r="519" spans="1:10" x14ac:dyDescent="0.25">
      <c r="A519" t="s">
        <v>1263</v>
      </c>
      <c r="B519" t="s">
        <v>88</v>
      </c>
      <c r="C519" s="1">
        <v>46142</v>
      </c>
      <c r="D519" t="s">
        <v>1951</v>
      </c>
      <c r="E519" t="s">
        <v>102</v>
      </c>
      <c r="F519" t="s">
        <v>31</v>
      </c>
      <c r="G519" s="14">
        <v>37600</v>
      </c>
      <c r="H519">
        <v>1415</v>
      </c>
      <c r="I519">
        <v>26.57</v>
      </c>
      <c r="J519">
        <v>37600</v>
      </c>
    </row>
    <row r="520" spans="1:10" x14ac:dyDescent="0.25">
      <c r="A520" t="s">
        <v>466</v>
      </c>
      <c r="B520" t="s">
        <v>279</v>
      </c>
      <c r="C520" s="1">
        <v>46142</v>
      </c>
      <c r="D520" t="s">
        <v>1977</v>
      </c>
      <c r="E520" t="s">
        <v>136</v>
      </c>
      <c r="F520" t="s">
        <v>109</v>
      </c>
      <c r="G520" s="14">
        <v>-6027606.2599999998</v>
      </c>
      <c r="H520">
        <v>1415</v>
      </c>
      <c r="I520">
        <v>-4259.79</v>
      </c>
      <c r="J520">
        <v>-7293409.5</v>
      </c>
    </row>
    <row r="521" spans="1:10" x14ac:dyDescent="0.25">
      <c r="A521" t="s">
        <v>483</v>
      </c>
      <c r="B521" t="s">
        <v>88</v>
      </c>
      <c r="C521" s="1">
        <v>46142</v>
      </c>
      <c r="D521" t="s">
        <v>1990</v>
      </c>
      <c r="E521" t="s">
        <v>136</v>
      </c>
      <c r="F521" t="s">
        <v>31</v>
      </c>
      <c r="G521" s="14">
        <v>48629</v>
      </c>
      <c r="H521">
        <v>1415</v>
      </c>
      <c r="I521">
        <v>34.369999999999997</v>
      </c>
      <c r="J521">
        <v>58841.09</v>
      </c>
    </row>
    <row r="522" spans="1:10" x14ac:dyDescent="0.25">
      <c r="A522" t="s">
        <v>521</v>
      </c>
      <c r="B522" t="s">
        <v>88</v>
      </c>
      <c r="C522" s="1">
        <v>46142</v>
      </c>
      <c r="D522" t="s">
        <v>2033</v>
      </c>
      <c r="E522" t="s">
        <v>136</v>
      </c>
      <c r="F522" t="s">
        <v>135</v>
      </c>
      <c r="G522" s="14">
        <v>28400</v>
      </c>
      <c r="H522">
        <v>1415</v>
      </c>
      <c r="I522">
        <v>20.07</v>
      </c>
      <c r="J522">
        <v>34364</v>
      </c>
    </row>
    <row r="523" spans="1:10" x14ac:dyDescent="0.25">
      <c r="A523" t="s">
        <v>246</v>
      </c>
      <c r="B523" t="s">
        <v>88</v>
      </c>
      <c r="C523" s="1">
        <v>46141</v>
      </c>
      <c r="D523" t="s">
        <v>1865</v>
      </c>
      <c r="E523" t="s">
        <v>114</v>
      </c>
      <c r="F523" t="s">
        <v>117</v>
      </c>
      <c r="G523" s="14">
        <v>14876.04</v>
      </c>
      <c r="H523">
        <v>1415</v>
      </c>
      <c r="I523">
        <v>10.51</v>
      </c>
      <c r="J523">
        <v>18000</v>
      </c>
    </row>
    <row r="524" spans="1:10" x14ac:dyDescent="0.25">
      <c r="A524" t="s">
        <v>1134</v>
      </c>
      <c r="B524" t="s">
        <v>88</v>
      </c>
      <c r="C524" s="1">
        <v>46141</v>
      </c>
      <c r="D524" t="s">
        <v>1896</v>
      </c>
      <c r="E524" t="s">
        <v>90</v>
      </c>
      <c r="F524" t="s">
        <v>91</v>
      </c>
      <c r="G524" s="14">
        <v>21858.86</v>
      </c>
      <c r="H524">
        <v>1415</v>
      </c>
      <c r="I524">
        <v>15.45</v>
      </c>
      <c r="J524">
        <v>26449.22</v>
      </c>
    </row>
    <row r="525" spans="1:10" x14ac:dyDescent="0.25">
      <c r="A525" t="s">
        <v>1134</v>
      </c>
      <c r="B525" t="s">
        <v>88</v>
      </c>
      <c r="C525" s="1">
        <v>46141</v>
      </c>
      <c r="D525" t="s">
        <v>1896</v>
      </c>
      <c r="E525" t="s">
        <v>92</v>
      </c>
      <c r="F525" t="s">
        <v>91</v>
      </c>
      <c r="G525" s="14">
        <v>3563.78</v>
      </c>
      <c r="H525">
        <v>1415</v>
      </c>
      <c r="I525">
        <v>2.52</v>
      </c>
      <c r="J525">
        <v>3563.78</v>
      </c>
    </row>
    <row r="526" spans="1:10" x14ac:dyDescent="0.25">
      <c r="A526" t="s">
        <v>1908</v>
      </c>
      <c r="B526" t="s">
        <v>88</v>
      </c>
      <c r="C526" s="1">
        <v>46141</v>
      </c>
      <c r="D526" t="s">
        <v>1910</v>
      </c>
      <c r="E526" t="s">
        <v>653</v>
      </c>
      <c r="F526" t="s">
        <v>1831</v>
      </c>
      <c r="G526" s="14">
        <v>47107.44</v>
      </c>
      <c r="H526">
        <v>1415</v>
      </c>
      <c r="I526">
        <v>33.29</v>
      </c>
      <c r="J526">
        <v>57000</v>
      </c>
    </row>
    <row r="527" spans="1:10" x14ac:dyDescent="0.25">
      <c r="A527" t="s">
        <v>426</v>
      </c>
      <c r="B527" t="s">
        <v>88</v>
      </c>
      <c r="C527" s="1">
        <v>46141</v>
      </c>
      <c r="D527" t="s">
        <v>1959</v>
      </c>
      <c r="E527" t="s">
        <v>136</v>
      </c>
      <c r="F527" t="s">
        <v>65</v>
      </c>
      <c r="G527" s="14">
        <v>1021118.58</v>
      </c>
      <c r="H527">
        <v>1415</v>
      </c>
      <c r="I527">
        <v>721.64</v>
      </c>
      <c r="J527">
        <v>1235553.48</v>
      </c>
    </row>
    <row r="528" spans="1:10" x14ac:dyDescent="0.25">
      <c r="A528" t="s">
        <v>473</v>
      </c>
      <c r="B528" t="s">
        <v>88</v>
      </c>
      <c r="C528" s="1">
        <v>46141</v>
      </c>
      <c r="D528" t="s">
        <v>1978</v>
      </c>
      <c r="E528" t="s">
        <v>152</v>
      </c>
      <c r="F528" t="s">
        <v>475</v>
      </c>
      <c r="G528" s="14">
        <v>229593.61</v>
      </c>
      <c r="H528">
        <v>1415</v>
      </c>
      <c r="I528">
        <v>162.26</v>
      </c>
      <c r="J528">
        <v>277810.09000000003</v>
      </c>
    </row>
    <row r="529" spans="1:10" x14ac:dyDescent="0.25">
      <c r="A529" t="s">
        <v>473</v>
      </c>
      <c r="B529" t="s">
        <v>88</v>
      </c>
      <c r="C529" s="1">
        <v>46141</v>
      </c>
      <c r="D529" t="s">
        <v>1978</v>
      </c>
      <c r="E529" t="s">
        <v>153</v>
      </c>
      <c r="F529" t="s">
        <v>475</v>
      </c>
      <c r="G529" s="14">
        <v>2528.1</v>
      </c>
      <c r="H529">
        <v>1415</v>
      </c>
      <c r="I529">
        <v>1.79</v>
      </c>
      <c r="J529">
        <v>2528.1</v>
      </c>
    </row>
    <row r="530" spans="1:10" x14ac:dyDescent="0.25">
      <c r="A530" t="s">
        <v>1362</v>
      </c>
      <c r="B530" t="s">
        <v>88</v>
      </c>
      <c r="C530" s="1">
        <v>46141</v>
      </c>
      <c r="D530" t="s">
        <v>1989</v>
      </c>
      <c r="E530" t="s">
        <v>136</v>
      </c>
      <c r="F530" t="s">
        <v>31</v>
      </c>
      <c r="G530" s="14">
        <v>514085</v>
      </c>
      <c r="H530">
        <v>1415</v>
      </c>
      <c r="I530">
        <v>363.31</v>
      </c>
      <c r="J530">
        <v>622042.85</v>
      </c>
    </row>
    <row r="531" spans="1:10" x14ac:dyDescent="0.25">
      <c r="A531" t="s">
        <v>1413</v>
      </c>
      <c r="B531" t="s">
        <v>96</v>
      </c>
      <c r="C531" s="1">
        <v>46141</v>
      </c>
      <c r="D531" t="s">
        <v>2011</v>
      </c>
      <c r="E531" t="s">
        <v>1412</v>
      </c>
      <c r="F531" t="s">
        <v>1831</v>
      </c>
      <c r="G531" s="14">
        <v>112200</v>
      </c>
      <c r="H531">
        <v>1415</v>
      </c>
      <c r="I531">
        <v>79.290000000000006</v>
      </c>
      <c r="J531">
        <v>112200</v>
      </c>
    </row>
    <row r="532" spans="1:10" x14ac:dyDescent="0.25">
      <c r="A532" t="s">
        <v>246</v>
      </c>
      <c r="B532" t="s">
        <v>88</v>
      </c>
      <c r="C532" s="1">
        <v>46140</v>
      </c>
      <c r="D532" t="s">
        <v>1862</v>
      </c>
      <c r="E532" t="s">
        <v>114</v>
      </c>
      <c r="F532" t="s">
        <v>117</v>
      </c>
      <c r="G532" s="14">
        <v>3719.01</v>
      </c>
      <c r="H532">
        <v>1430</v>
      </c>
      <c r="I532">
        <v>2.6</v>
      </c>
      <c r="J532">
        <v>4500</v>
      </c>
    </row>
    <row r="533" spans="1:10" x14ac:dyDescent="0.25">
      <c r="A533" t="s">
        <v>287</v>
      </c>
      <c r="B533" t="s">
        <v>88</v>
      </c>
      <c r="C533" s="1">
        <v>46140</v>
      </c>
      <c r="D533" t="s">
        <v>1887</v>
      </c>
      <c r="E533" t="s">
        <v>136</v>
      </c>
      <c r="F533" t="s">
        <v>31</v>
      </c>
      <c r="G533" s="14">
        <v>4906050.76</v>
      </c>
      <c r="H533">
        <v>1430</v>
      </c>
      <c r="I533">
        <v>3430.8</v>
      </c>
      <c r="J533">
        <v>5936323.4000000004</v>
      </c>
    </row>
    <row r="534" spans="1:10" x14ac:dyDescent="0.25">
      <c r="A534" t="s">
        <v>287</v>
      </c>
      <c r="B534" t="s">
        <v>88</v>
      </c>
      <c r="C534" s="1">
        <v>46140</v>
      </c>
      <c r="D534" t="s">
        <v>1887</v>
      </c>
      <c r="E534" t="s">
        <v>329</v>
      </c>
      <c r="F534" t="s">
        <v>31</v>
      </c>
      <c r="G534" s="14">
        <v>-4906050.76</v>
      </c>
      <c r="H534">
        <v>1430</v>
      </c>
      <c r="I534">
        <v>-3430.8</v>
      </c>
      <c r="J534">
        <v>-4906050.76</v>
      </c>
    </row>
    <row r="535" spans="1:10" x14ac:dyDescent="0.25">
      <c r="A535" t="s">
        <v>287</v>
      </c>
      <c r="B535" t="s">
        <v>88</v>
      </c>
      <c r="C535" s="1">
        <v>46140</v>
      </c>
      <c r="D535" t="s">
        <v>1887</v>
      </c>
      <c r="E535" t="s">
        <v>184</v>
      </c>
      <c r="F535" t="s">
        <v>31</v>
      </c>
      <c r="G535" s="14">
        <v>645273.46</v>
      </c>
      <c r="H535">
        <v>1430</v>
      </c>
      <c r="I535">
        <v>451.24</v>
      </c>
      <c r="J535">
        <v>780780.89</v>
      </c>
    </row>
    <row r="536" spans="1:10" x14ac:dyDescent="0.25">
      <c r="A536" t="s">
        <v>443</v>
      </c>
      <c r="B536" t="s">
        <v>88</v>
      </c>
      <c r="C536" s="1">
        <v>46140</v>
      </c>
      <c r="D536" t="s">
        <v>1968</v>
      </c>
      <c r="E536" t="s">
        <v>90</v>
      </c>
      <c r="F536" t="s">
        <v>91</v>
      </c>
      <c r="G536" s="14">
        <v>23273.02</v>
      </c>
      <c r="H536">
        <v>1430</v>
      </c>
      <c r="I536">
        <v>16.27</v>
      </c>
      <c r="J536">
        <v>28160.36</v>
      </c>
    </row>
    <row r="537" spans="1:10" x14ac:dyDescent="0.25">
      <c r="A537" t="s">
        <v>443</v>
      </c>
      <c r="B537" t="s">
        <v>88</v>
      </c>
      <c r="C537" s="1">
        <v>46140</v>
      </c>
      <c r="D537" t="s">
        <v>1968</v>
      </c>
      <c r="E537" t="s">
        <v>92</v>
      </c>
      <c r="F537" t="s">
        <v>91</v>
      </c>
      <c r="G537" s="14">
        <v>5883.6</v>
      </c>
      <c r="H537">
        <v>1430</v>
      </c>
      <c r="I537">
        <v>4.1100000000000003</v>
      </c>
      <c r="J537">
        <v>5883.6</v>
      </c>
    </row>
    <row r="538" spans="1:10" x14ac:dyDescent="0.25">
      <c r="A538" t="s">
        <v>1362</v>
      </c>
      <c r="B538" t="s">
        <v>88</v>
      </c>
      <c r="C538" s="1">
        <v>46140</v>
      </c>
      <c r="D538" t="s">
        <v>1988</v>
      </c>
      <c r="E538" t="s">
        <v>136</v>
      </c>
      <c r="F538" t="s">
        <v>31</v>
      </c>
      <c r="G538" s="14">
        <v>556560</v>
      </c>
      <c r="H538">
        <v>1430</v>
      </c>
      <c r="I538">
        <v>389.2</v>
      </c>
      <c r="J538">
        <v>673437.6</v>
      </c>
    </row>
    <row r="539" spans="1:10" x14ac:dyDescent="0.25">
      <c r="A539" t="s">
        <v>884</v>
      </c>
      <c r="B539" t="s">
        <v>88</v>
      </c>
      <c r="C539" s="1">
        <v>46140</v>
      </c>
      <c r="D539" t="s">
        <v>2022</v>
      </c>
      <c r="E539" t="s">
        <v>136</v>
      </c>
      <c r="F539" t="s">
        <v>64</v>
      </c>
      <c r="G539" s="14">
        <v>14730507.789999999</v>
      </c>
      <c r="H539">
        <v>1430</v>
      </c>
      <c r="I539">
        <v>10301.049999999999</v>
      </c>
      <c r="J539">
        <v>17823914.420000002</v>
      </c>
    </row>
    <row r="540" spans="1:10" x14ac:dyDescent="0.25">
      <c r="A540" t="s">
        <v>884</v>
      </c>
      <c r="B540" t="s">
        <v>88</v>
      </c>
      <c r="C540" s="1">
        <v>46140</v>
      </c>
      <c r="D540" t="s">
        <v>2022</v>
      </c>
      <c r="E540" t="s">
        <v>136</v>
      </c>
      <c r="F540" t="s">
        <v>65</v>
      </c>
      <c r="G540" s="14">
        <v>4154758.61</v>
      </c>
      <c r="H540">
        <v>1430</v>
      </c>
      <c r="I540">
        <v>2905.43</v>
      </c>
      <c r="J540">
        <v>5027257.92</v>
      </c>
    </row>
    <row r="541" spans="1:10" x14ac:dyDescent="0.25">
      <c r="A541" t="s">
        <v>884</v>
      </c>
      <c r="B541" t="s">
        <v>88</v>
      </c>
      <c r="C541" s="1">
        <v>46140</v>
      </c>
      <c r="D541" t="s">
        <v>2023</v>
      </c>
      <c r="E541" t="s">
        <v>136</v>
      </c>
      <c r="F541" t="s">
        <v>64</v>
      </c>
      <c r="G541" s="14">
        <v>14621198.59</v>
      </c>
      <c r="H541">
        <v>1430</v>
      </c>
      <c r="I541">
        <v>10224.61</v>
      </c>
      <c r="J541">
        <v>17691650.289999999</v>
      </c>
    </row>
    <row r="542" spans="1:10" x14ac:dyDescent="0.25">
      <c r="A542" t="s">
        <v>884</v>
      </c>
      <c r="B542" t="s">
        <v>88</v>
      </c>
      <c r="C542" s="1">
        <v>46140</v>
      </c>
      <c r="D542" t="s">
        <v>2023</v>
      </c>
      <c r="E542" t="s">
        <v>136</v>
      </c>
      <c r="F542" t="s">
        <v>65</v>
      </c>
      <c r="G542" s="14">
        <v>4123927.81</v>
      </c>
      <c r="H542">
        <v>1430</v>
      </c>
      <c r="I542">
        <v>2883.87</v>
      </c>
      <c r="J542">
        <v>4989952.6500000004</v>
      </c>
    </row>
    <row r="543" spans="1:10" x14ac:dyDescent="0.25">
      <c r="A543" t="s">
        <v>884</v>
      </c>
      <c r="B543" t="s">
        <v>279</v>
      </c>
      <c r="C543" s="1">
        <v>46140</v>
      </c>
      <c r="D543" t="s">
        <v>2026</v>
      </c>
      <c r="E543" t="s">
        <v>136</v>
      </c>
      <c r="F543" t="s">
        <v>64</v>
      </c>
      <c r="G543" s="14">
        <v>-29146449.699999999</v>
      </c>
      <c r="H543">
        <v>1430</v>
      </c>
      <c r="I543">
        <v>-20382.13</v>
      </c>
      <c r="J543">
        <v>-35267204.140000001</v>
      </c>
    </row>
    <row r="544" spans="1:10" x14ac:dyDescent="0.25">
      <c r="A544" t="s">
        <v>884</v>
      </c>
      <c r="B544" t="s">
        <v>279</v>
      </c>
      <c r="C544" s="1">
        <v>46140</v>
      </c>
      <c r="D544" t="s">
        <v>2026</v>
      </c>
      <c r="E544" t="s">
        <v>136</v>
      </c>
      <c r="F544" t="s">
        <v>65</v>
      </c>
      <c r="G544" s="14">
        <v>-8220793.5</v>
      </c>
      <c r="H544">
        <v>1430</v>
      </c>
      <c r="I544">
        <v>-5748.81</v>
      </c>
      <c r="J544">
        <v>-9947160.1300000008</v>
      </c>
    </row>
    <row r="545" spans="1:10" x14ac:dyDescent="0.25">
      <c r="A545" t="s">
        <v>515</v>
      </c>
      <c r="B545" t="s">
        <v>88</v>
      </c>
      <c r="C545" s="1">
        <v>46140</v>
      </c>
      <c r="D545" t="s">
        <v>2032</v>
      </c>
      <c r="E545" t="s">
        <v>184</v>
      </c>
      <c r="F545" t="s">
        <v>135</v>
      </c>
      <c r="G545" s="14">
        <v>34000</v>
      </c>
      <c r="H545">
        <v>1430</v>
      </c>
      <c r="I545">
        <v>23.78</v>
      </c>
      <c r="J545">
        <v>41140</v>
      </c>
    </row>
    <row r="546" spans="1:10" x14ac:dyDescent="0.25">
      <c r="A546" t="s">
        <v>400</v>
      </c>
      <c r="B546" t="s">
        <v>88</v>
      </c>
      <c r="C546" s="1">
        <v>46139</v>
      </c>
      <c r="D546" t="s">
        <v>1934</v>
      </c>
      <c r="E546" t="s">
        <v>184</v>
      </c>
      <c r="F546" t="s">
        <v>31</v>
      </c>
      <c r="G546" s="14">
        <v>96155.54</v>
      </c>
      <c r="H546">
        <v>1440</v>
      </c>
      <c r="I546">
        <v>66.77</v>
      </c>
      <c r="J546">
        <v>116348.2</v>
      </c>
    </row>
    <row r="547" spans="1:10" x14ac:dyDescent="0.25">
      <c r="A547" t="s">
        <v>1948</v>
      </c>
      <c r="B547" t="s">
        <v>88</v>
      </c>
      <c r="C547" s="1">
        <v>46139</v>
      </c>
      <c r="D547" t="s">
        <v>1949</v>
      </c>
      <c r="E547" t="s">
        <v>731</v>
      </c>
      <c r="F547" t="s">
        <v>551</v>
      </c>
      <c r="G547" s="14">
        <v>371900.83</v>
      </c>
      <c r="H547">
        <v>1440</v>
      </c>
      <c r="I547">
        <v>258.26</v>
      </c>
      <c r="J547">
        <v>450000</v>
      </c>
    </row>
    <row r="548" spans="1:10" x14ac:dyDescent="0.25">
      <c r="A548" t="s">
        <v>884</v>
      </c>
      <c r="B548" t="s">
        <v>88</v>
      </c>
      <c r="C548" s="1">
        <v>46139</v>
      </c>
      <c r="D548" t="s">
        <v>2021</v>
      </c>
      <c r="E548" t="s">
        <v>136</v>
      </c>
      <c r="F548" t="s">
        <v>64</v>
      </c>
      <c r="G548" s="14">
        <v>29146449.699999999</v>
      </c>
      <c r="H548">
        <v>1440</v>
      </c>
      <c r="I548">
        <v>20240.59</v>
      </c>
      <c r="J548">
        <v>35267204.140000001</v>
      </c>
    </row>
    <row r="549" spans="1:10" x14ac:dyDescent="0.25">
      <c r="A549" t="s">
        <v>884</v>
      </c>
      <c r="B549" t="s">
        <v>88</v>
      </c>
      <c r="C549" s="1">
        <v>46139</v>
      </c>
      <c r="D549" t="s">
        <v>2021</v>
      </c>
      <c r="E549" t="s">
        <v>136</v>
      </c>
      <c r="F549" t="s">
        <v>65</v>
      </c>
      <c r="G549" s="14">
        <v>8220793.5</v>
      </c>
      <c r="H549">
        <v>1440</v>
      </c>
      <c r="I549">
        <v>5708.88</v>
      </c>
      <c r="J549">
        <v>9947160.1300000008</v>
      </c>
    </row>
    <row r="550" spans="1:10" x14ac:dyDescent="0.25">
      <c r="A550" t="s">
        <v>884</v>
      </c>
      <c r="B550" t="s">
        <v>279</v>
      </c>
      <c r="C550" s="1">
        <v>46139</v>
      </c>
      <c r="D550" t="s">
        <v>2024</v>
      </c>
      <c r="E550" t="s">
        <v>839</v>
      </c>
      <c r="F550" t="s">
        <v>945</v>
      </c>
      <c r="G550" s="14">
        <v>-51264</v>
      </c>
      <c r="H550">
        <v>1440</v>
      </c>
      <c r="I550">
        <v>-35.6</v>
      </c>
      <c r="J550">
        <v>-62029.440000000002</v>
      </c>
    </row>
    <row r="551" spans="1:10" x14ac:dyDescent="0.25">
      <c r="A551" t="s">
        <v>884</v>
      </c>
      <c r="B551" t="s">
        <v>279</v>
      </c>
      <c r="C551" s="1">
        <v>46139</v>
      </c>
      <c r="D551" t="s">
        <v>2025</v>
      </c>
      <c r="E551" t="s">
        <v>839</v>
      </c>
      <c r="F551" t="s">
        <v>945</v>
      </c>
      <c r="G551" s="14">
        <v>-34265</v>
      </c>
      <c r="H551">
        <v>1440</v>
      </c>
      <c r="I551">
        <v>-23.8</v>
      </c>
      <c r="J551">
        <v>-41460.65</v>
      </c>
    </row>
    <row r="552" spans="1:10" x14ac:dyDescent="0.25">
      <c r="A552" t="s">
        <v>510</v>
      </c>
      <c r="B552" t="s">
        <v>96</v>
      </c>
      <c r="C552" s="1">
        <v>46138</v>
      </c>
      <c r="D552" t="s">
        <v>2019</v>
      </c>
      <c r="E552" t="s">
        <v>127</v>
      </c>
      <c r="F552" t="s">
        <v>117</v>
      </c>
      <c r="G552" s="14">
        <v>376.89</v>
      </c>
      <c r="H552">
        <v>1420</v>
      </c>
      <c r="I552">
        <v>0.27</v>
      </c>
      <c r="J552">
        <v>376.89</v>
      </c>
    </row>
    <row r="553" spans="1:10" x14ac:dyDescent="0.25">
      <c r="A553" t="s">
        <v>510</v>
      </c>
      <c r="B553" t="s">
        <v>96</v>
      </c>
      <c r="C553" s="1">
        <v>46138</v>
      </c>
      <c r="D553" t="s">
        <v>2020</v>
      </c>
      <c r="E553" t="s">
        <v>127</v>
      </c>
      <c r="F553" t="s">
        <v>117</v>
      </c>
      <c r="G553" s="14">
        <v>74.98</v>
      </c>
      <c r="H553">
        <v>1420</v>
      </c>
      <c r="I553">
        <v>0.05</v>
      </c>
      <c r="J553">
        <v>74.98</v>
      </c>
    </row>
    <row r="554" spans="1:10" x14ac:dyDescent="0.25">
      <c r="A554" t="s">
        <v>272</v>
      </c>
      <c r="B554" t="s">
        <v>88</v>
      </c>
      <c r="C554" s="1">
        <v>46136</v>
      </c>
      <c r="D554" t="s">
        <v>1874</v>
      </c>
      <c r="E554" t="s">
        <v>274</v>
      </c>
      <c r="F554" t="s">
        <v>109</v>
      </c>
      <c r="G554" s="14">
        <v>73636.38</v>
      </c>
      <c r="H554">
        <v>1420</v>
      </c>
      <c r="I554">
        <v>51.86</v>
      </c>
      <c r="J554">
        <v>89100.02</v>
      </c>
    </row>
    <row r="555" spans="1:10" x14ac:dyDescent="0.25">
      <c r="A555" t="s">
        <v>1877</v>
      </c>
      <c r="B555" t="s">
        <v>88</v>
      </c>
      <c r="C555" s="1">
        <v>46136</v>
      </c>
      <c r="D555" t="s">
        <v>1878</v>
      </c>
      <c r="E555" t="s">
        <v>184</v>
      </c>
      <c r="F555" t="s">
        <v>551</v>
      </c>
      <c r="G555" s="14">
        <v>20700</v>
      </c>
      <c r="H555">
        <v>1420</v>
      </c>
      <c r="I555">
        <v>14.58</v>
      </c>
      <c r="J555">
        <v>25047</v>
      </c>
    </row>
    <row r="556" spans="1:10" x14ac:dyDescent="0.25">
      <c r="A556" t="s">
        <v>346</v>
      </c>
      <c r="B556" t="s">
        <v>88</v>
      </c>
      <c r="C556" s="1">
        <v>46136</v>
      </c>
      <c r="D556" t="s">
        <v>1901</v>
      </c>
      <c r="E556" t="s">
        <v>90</v>
      </c>
      <c r="F556" t="s">
        <v>91</v>
      </c>
      <c r="G556" s="14">
        <v>36959.129999999997</v>
      </c>
      <c r="H556">
        <v>1420</v>
      </c>
      <c r="I556">
        <v>26.03</v>
      </c>
      <c r="J556">
        <v>44720.56</v>
      </c>
    </row>
    <row r="557" spans="1:10" x14ac:dyDescent="0.25">
      <c r="A557" t="s">
        <v>346</v>
      </c>
      <c r="B557" t="s">
        <v>88</v>
      </c>
      <c r="C557" s="1">
        <v>46136</v>
      </c>
      <c r="D557" t="s">
        <v>1901</v>
      </c>
      <c r="E557" t="s">
        <v>92</v>
      </c>
      <c r="F557" t="s">
        <v>91</v>
      </c>
      <c r="G557" s="14">
        <v>5278.48</v>
      </c>
      <c r="H557">
        <v>1420</v>
      </c>
      <c r="I557">
        <v>3.72</v>
      </c>
      <c r="J557">
        <v>5278.48</v>
      </c>
    </row>
    <row r="558" spans="1:10" x14ac:dyDescent="0.25">
      <c r="A558" t="s">
        <v>346</v>
      </c>
      <c r="B558" t="s">
        <v>88</v>
      </c>
      <c r="C558" s="1">
        <v>46136</v>
      </c>
      <c r="D558" t="s">
        <v>1902</v>
      </c>
      <c r="E558" t="s">
        <v>90</v>
      </c>
      <c r="F558" t="s">
        <v>91</v>
      </c>
      <c r="G558" s="14">
        <v>418427.83</v>
      </c>
      <c r="H558">
        <v>1420</v>
      </c>
      <c r="I558">
        <v>294.67</v>
      </c>
      <c r="J558">
        <v>506297.67</v>
      </c>
    </row>
    <row r="559" spans="1:10" x14ac:dyDescent="0.25">
      <c r="A559" t="s">
        <v>346</v>
      </c>
      <c r="B559" t="s">
        <v>88</v>
      </c>
      <c r="C559" s="1">
        <v>46136</v>
      </c>
      <c r="D559" t="s">
        <v>1902</v>
      </c>
      <c r="E559" t="s">
        <v>92</v>
      </c>
      <c r="F559" t="s">
        <v>91</v>
      </c>
      <c r="G559" s="14">
        <v>62277.33</v>
      </c>
      <c r="H559">
        <v>1420</v>
      </c>
      <c r="I559">
        <v>43.86</v>
      </c>
      <c r="J559">
        <v>62277.33</v>
      </c>
    </row>
    <row r="560" spans="1:10" x14ac:dyDescent="0.25">
      <c r="A560" t="s">
        <v>1908</v>
      </c>
      <c r="B560" t="s">
        <v>88</v>
      </c>
      <c r="C560" s="1">
        <v>46136</v>
      </c>
      <c r="D560" t="s">
        <v>1909</v>
      </c>
      <c r="E560" t="s">
        <v>653</v>
      </c>
      <c r="F560" t="s">
        <v>1831</v>
      </c>
      <c r="G560" s="14">
        <v>141322.31</v>
      </c>
      <c r="H560">
        <v>1420</v>
      </c>
      <c r="I560">
        <v>99.52</v>
      </c>
      <c r="J560">
        <v>171000</v>
      </c>
    </row>
    <row r="561" spans="1:10" x14ac:dyDescent="0.25">
      <c r="A561" t="s">
        <v>1645</v>
      </c>
      <c r="B561" t="s">
        <v>96</v>
      </c>
      <c r="C561" s="1">
        <v>46136</v>
      </c>
      <c r="D561" t="s">
        <v>1928</v>
      </c>
      <c r="E561" t="s">
        <v>1647</v>
      </c>
      <c r="F561" t="s">
        <v>85</v>
      </c>
      <c r="G561" s="14">
        <v>90631.8</v>
      </c>
      <c r="H561">
        <v>1420</v>
      </c>
      <c r="I561">
        <v>63.83</v>
      </c>
      <c r="J561">
        <v>90631.8</v>
      </c>
    </row>
    <row r="562" spans="1:10" x14ac:dyDescent="0.25">
      <c r="A562" t="s">
        <v>426</v>
      </c>
      <c r="B562" t="s">
        <v>88</v>
      </c>
      <c r="C562" s="1">
        <v>46136</v>
      </c>
      <c r="D562" t="s">
        <v>1958</v>
      </c>
      <c r="E562" t="s">
        <v>136</v>
      </c>
      <c r="F562" t="s">
        <v>135</v>
      </c>
      <c r="G562" s="14">
        <v>85511.42</v>
      </c>
      <c r="H562">
        <v>1420</v>
      </c>
      <c r="I562">
        <v>60.22</v>
      </c>
      <c r="J562">
        <v>103468.82</v>
      </c>
    </row>
    <row r="563" spans="1:10" x14ac:dyDescent="0.25">
      <c r="A563" t="s">
        <v>549</v>
      </c>
      <c r="B563" t="s">
        <v>88</v>
      </c>
      <c r="C563" s="1">
        <v>46136</v>
      </c>
      <c r="D563" t="s">
        <v>2047</v>
      </c>
      <c r="E563" t="s">
        <v>205</v>
      </c>
      <c r="F563" t="s">
        <v>551</v>
      </c>
      <c r="G563" s="14">
        <v>204545.46</v>
      </c>
      <c r="H563">
        <v>1420</v>
      </c>
      <c r="I563">
        <v>144.05000000000001</v>
      </c>
      <c r="J563">
        <v>247500</v>
      </c>
    </row>
    <row r="564" spans="1:10" x14ac:dyDescent="0.25">
      <c r="A564" t="s">
        <v>549</v>
      </c>
      <c r="B564" t="s">
        <v>88</v>
      </c>
      <c r="C564" s="1">
        <v>46136</v>
      </c>
      <c r="D564" t="s">
        <v>2047</v>
      </c>
      <c r="E564" t="s">
        <v>102</v>
      </c>
      <c r="F564" t="s">
        <v>551</v>
      </c>
      <c r="G564" s="14">
        <v>15500</v>
      </c>
      <c r="H564">
        <v>1420</v>
      </c>
      <c r="I564">
        <v>10.92</v>
      </c>
      <c r="J564">
        <v>15500</v>
      </c>
    </row>
    <row r="565" spans="1:10" x14ac:dyDescent="0.25">
      <c r="A565" t="s">
        <v>426</v>
      </c>
      <c r="B565" t="s">
        <v>88</v>
      </c>
      <c r="C565" s="1">
        <v>46135</v>
      </c>
      <c r="D565" t="s">
        <v>1957</v>
      </c>
      <c r="E565" t="s">
        <v>136</v>
      </c>
      <c r="F565" t="s">
        <v>135</v>
      </c>
      <c r="G565" s="14">
        <v>42755.71</v>
      </c>
      <c r="H565">
        <v>1415</v>
      </c>
      <c r="I565">
        <v>30.22</v>
      </c>
      <c r="J565">
        <v>51734.41</v>
      </c>
    </row>
    <row r="566" spans="1:10" x14ac:dyDescent="0.25">
      <c r="A566" t="s">
        <v>466</v>
      </c>
      <c r="B566" t="s">
        <v>88</v>
      </c>
      <c r="C566" s="1">
        <v>46135</v>
      </c>
      <c r="D566" t="s">
        <v>1976</v>
      </c>
      <c r="E566" t="s">
        <v>136</v>
      </c>
      <c r="F566" t="s">
        <v>109</v>
      </c>
      <c r="G566" s="14">
        <v>12767597.18</v>
      </c>
      <c r="H566">
        <v>1415</v>
      </c>
      <c r="I566">
        <v>9023.0400000000009</v>
      </c>
      <c r="J566">
        <v>15448799.34</v>
      </c>
    </row>
    <row r="567" spans="1:10" x14ac:dyDescent="0.25">
      <c r="A567" t="s">
        <v>281</v>
      </c>
      <c r="B567" t="s">
        <v>88</v>
      </c>
      <c r="C567" s="1">
        <v>46134</v>
      </c>
      <c r="D567" t="s">
        <v>1880</v>
      </c>
      <c r="E567" t="s">
        <v>283</v>
      </c>
      <c r="F567" t="s">
        <v>109</v>
      </c>
      <c r="G567" s="14">
        <v>22975.21</v>
      </c>
      <c r="H567">
        <v>1400</v>
      </c>
      <c r="I567">
        <v>16.41</v>
      </c>
      <c r="J567">
        <v>27800</v>
      </c>
    </row>
    <row r="568" spans="1:10" x14ac:dyDescent="0.25">
      <c r="A568" t="s">
        <v>1964</v>
      </c>
      <c r="B568" t="s">
        <v>88</v>
      </c>
      <c r="C568" s="1">
        <v>46134</v>
      </c>
      <c r="D568" t="s">
        <v>1965</v>
      </c>
      <c r="E568" t="s">
        <v>90</v>
      </c>
      <c r="F568" t="s">
        <v>91</v>
      </c>
      <c r="G568" s="14">
        <v>24058.44</v>
      </c>
      <c r="H568">
        <v>1400</v>
      </c>
      <c r="I568">
        <v>17.18</v>
      </c>
      <c r="J568">
        <v>29110.720000000001</v>
      </c>
    </row>
    <row r="569" spans="1:10" x14ac:dyDescent="0.25">
      <c r="A569" t="s">
        <v>1964</v>
      </c>
      <c r="B569" t="s">
        <v>88</v>
      </c>
      <c r="C569" s="1">
        <v>46134</v>
      </c>
      <c r="D569" t="s">
        <v>1965</v>
      </c>
      <c r="E569" t="s">
        <v>92</v>
      </c>
      <c r="F569" t="s">
        <v>91</v>
      </c>
      <c r="G569" s="14">
        <v>4889.41</v>
      </c>
      <c r="H569">
        <v>1400</v>
      </c>
      <c r="I569">
        <v>3.49</v>
      </c>
      <c r="J569">
        <v>4889.41</v>
      </c>
    </row>
    <row r="570" spans="1:10" x14ac:dyDescent="0.25">
      <c r="A570" t="s">
        <v>1793</v>
      </c>
      <c r="B570" t="s">
        <v>88</v>
      </c>
      <c r="C570" s="1">
        <v>46134</v>
      </c>
      <c r="D570" t="s">
        <v>2065</v>
      </c>
      <c r="E570" t="s">
        <v>329</v>
      </c>
      <c r="F570" t="s">
        <v>31</v>
      </c>
      <c r="G570" s="14">
        <v>3865576</v>
      </c>
      <c r="H570">
        <v>1400</v>
      </c>
      <c r="I570">
        <v>2761.13</v>
      </c>
      <c r="J570">
        <v>3865576</v>
      </c>
    </row>
    <row r="571" spans="1:10" x14ac:dyDescent="0.25">
      <c r="A571" t="s">
        <v>1793</v>
      </c>
      <c r="B571" t="s">
        <v>88</v>
      </c>
      <c r="C571" s="1">
        <v>46134</v>
      </c>
      <c r="D571" t="s">
        <v>2065</v>
      </c>
      <c r="E571" t="s">
        <v>786</v>
      </c>
      <c r="F571" t="s">
        <v>31</v>
      </c>
      <c r="G571" s="14">
        <v>991900</v>
      </c>
      <c r="H571">
        <v>1400</v>
      </c>
      <c r="I571">
        <v>708.5</v>
      </c>
      <c r="J571">
        <v>991900</v>
      </c>
    </row>
    <row r="572" spans="1:10" x14ac:dyDescent="0.25">
      <c r="A572" t="s">
        <v>935</v>
      </c>
      <c r="B572" t="s">
        <v>88</v>
      </c>
      <c r="C572" s="1">
        <v>46133</v>
      </c>
      <c r="D572" t="s">
        <v>1810</v>
      </c>
      <c r="E572" t="s">
        <v>136</v>
      </c>
      <c r="F572" t="s">
        <v>31</v>
      </c>
      <c r="G572" s="14">
        <v>12186.45</v>
      </c>
      <c r="H572">
        <v>1400</v>
      </c>
      <c r="I572">
        <v>8.6999999999999993</v>
      </c>
      <c r="J572">
        <v>14747.67</v>
      </c>
    </row>
    <row r="573" spans="1:10" x14ac:dyDescent="0.25">
      <c r="A573" t="s">
        <v>1842</v>
      </c>
      <c r="B573" t="s">
        <v>88</v>
      </c>
      <c r="C573" s="1">
        <v>46133</v>
      </c>
      <c r="D573" t="s">
        <v>1843</v>
      </c>
      <c r="E573" t="s">
        <v>138</v>
      </c>
      <c r="F573" t="s">
        <v>139</v>
      </c>
      <c r="G573" s="14">
        <v>282933.88</v>
      </c>
      <c r="H573">
        <v>1400</v>
      </c>
      <c r="I573">
        <v>202.1</v>
      </c>
      <c r="J573">
        <v>342350</v>
      </c>
    </row>
    <row r="574" spans="1:10" x14ac:dyDescent="0.25">
      <c r="A574" t="s">
        <v>207</v>
      </c>
      <c r="B574" t="s">
        <v>88</v>
      </c>
      <c r="C574" s="1">
        <v>46133</v>
      </c>
      <c r="D574" t="s">
        <v>1846</v>
      </c>
      <c r="E574" t="s">
        <v>1847</v>
      </c>
      <c r="F574" t="s">
        <v>1848</v>
      </c>
      <c r="G574" s="14">
        <v>9884100.6799999997</v>
      </c>
      <c r="H574">
        <v>1400</v>
      </c>
      <c r="I574">
        <v>7060.07</v>
      </c>
      <c r="J574">
        <v>9884100.6799999997</v>
      </c>
    </row>
    <row r="575" spans="1:10" x14ac:dyDescent="0.25">
      <c r="A575" t="s">
        <v>1867</v>
      </c>
      <c r="B575" t="s">
        <v>88</v>
      </c>
      <c r="C575" s="1">
        <v>46133</v>
      </c>
      <c r="D575" t="s">
        <v>1868</v>
      </c>
      <c r="E575" t="s">
        <v>653</v>
      </c>
      <c r="F575" t="s">
        <v>1831</v>
      </c>
      <c r="G575" s="14">
        <v>300000</v>
      </c>
      <c r="H575">
        <v>1400</v>
      </c>
      <c r="I575">
        <v>214.29</v>
      </c>
      <c r="J575">
        <v>363000</v>
      </c>
    </row>
    <row r="576" spans="1:10" x14ac:dyDescent="0.25">
      <c r="A576" t="s">
        <v>1867</v>
      </c>
      <c r="B576" t="s">
        <v>88</v>
      </c>
      <c r="C576" s="1">
        <v>46133</v>
      </c>
      <c r="D576" t="s">
        <v>1869</v>
      </c>
      <c r="E576" t="s">
        <v>653</v>
      </c>
      <c r="F576" t="s">
        <v>1831</v>
      </c>
      <c r="G576" s="14">
        <v>60000</v>
      </c>
      <c r="H576">
        <v>1400</v>
      </c>
      <c r="I576">
        <v>42.86</v>
      </c>
      <c r="J576">
        <v>72600</v>
      </c>
    </row>
    <row r="577" spans="1:10" x14ac:dyDescent="0.25">
      <c r="A577" t="s">
        <v>1867</v>
      </c>
      <c r="B577" t="s">
        <v>279</v>
      </c>
      <c r="C577" s="1">
        <v>46133</v>
      </c>
      <c r="D577" t="s">
        <v>1870</v>
      </c>
      <c r="E577" t="s">
        <v>653</v>
      </c>
      <c r="F577" t="s">
        <v>1831</v>
      </c>
      <c r="G577" s="14">
        <v>-300000</v>
      </c>
      <c r="H577">
        <v>1400</v>
      </c>
      <c r="I577">
        <v>-214.29</v>
      </c>
      <c r="J577">
        <v>-363000</v>
      </c>
    </row>
    <row r="578" spans="1:10" x14ac:dyDescent="0.25">
      <c r="A578" t="s">
        <v>367</v>
      </c>
      <c r="B578" t="s">
        <v>88</v>
      </c>
      <c r="C578" s="1">
        <v>46133</v>
      </c>
      <c r="D578" t="s">
        <v>1911</v>
      </c>
      <c r="E578" t="s">
        <v>215</v>
      </c>
      <c r="F578" t="s">
        <v>109</v>
      </c>
      <c r="G578" s="14">
        <v>36523.97</v>
      </c>
      <c r="H578">
        <v>1400</v>
      </c>
      <c r="I578">
        <v>26.09</v>
      </c>
      <c r="J578">
        <v>44194</v>
      </c>
    </row>
    <row r="579" spans="1:10" x14ac:dyDescent="0.25">
      <c r="A579" t="s">
        <v>1937</v>
      </c>
      <c r="B579" t="s">
        <v>88</v>
      </c>
      <c r="C579" s="1">
        <v>46133</v>
      </c>
      <c r="D579" t="s">
        <v>1938</v>
      </c>
      <c r="E579" t="s">
        <v>274</v>
      </c>
      <c r="F579" t="s">
        <v>271</v>
      </c>
      <c r="G579" s="14">
        <v>39834.83</v>
      </c>
      <c r="H579">
        <v>1400</v>
      </c>
      <c r="I579">
        <v>28.45</v>
      </c>
      <c r="J579">
        <v>48200.14</v>
      </c>
    </row>
    <row r="580" spans="1:10" x14ac:dyDescent="0.25">
      <c r="A580" t="s">
        <v>1413</v>
      </c>
      <c r="B580" t="s">
        <v>96</v>
      </c>
      <c r="C580" s="1">
        <v>46133</v>
      </c>
      <c r="D580" t="s">
        <v>2010</v>
      </c>
      <c r="E580" t="s">
        <v>1412</v>
      </c>
      <c r="F580" t="s">
        <v>1831</v>
      </c>
      <c r="G580" s="14">
        <v>112200</v>
      </c>
      <c r="H580">
        <v>1400</v>
      </c>
      <c r="I580">
        <v>80.14</v>
      </c>
      <c r="J580">
        <v>112200</v>
      </c>
    </row>
    <row r="581" spans="1:10" x14ac:dyDescent="0.25">
      <c r="A581" t="s">
        <v>1413</v>
      </c>
      <c r="B581" t="s">
        <v>96</v>
      </c>
      <c r="C581" s="1">
        <v>46132</v>
      </c>
      <c r="D581" t="s">
        <v>2009</v>
      </c>
      <c r="E581" t="s">
        <v>1412</v>
      </c>
      <c r="F581" t="s">
        <v>1831</v>
      </c>
      <c r="G581" s="14">
        <v>280500</v>
      </c>
      <c r="H581">
        <v>1400</v>
      </c>
      <c r="I581">
        <v>200.36</v>
      </c>
      <c r="J581">
        <v>280500</v>
      </c>
    </row>
    <row r="582" spans="1:10" x14ac:dyDescent="0.25">
      <c r="A582" t="s">
        <v>281</v>
      </c>
      <c r="B582" t="s">
        <v>88</v>
      </c>
      <c r="C582" s="1">
        <v>46130</v>
      </c>
      <c r="D582" t="s">
        <v>1879</v>
      </c>
      <c r="E582" t="s">
        <v>283</v>
      </c>
      <c r="F582" t="s">
        <v>109</v>
      </c>
      <c r="G582" s="14">
        <v>38843.01</v>
      </c>
      <c r="H582">
        <v>1390</v>
      </c>
      <c r="I582">
        <v>27.94</v>
      </c>
      <c r="J582">
        <v>47000.04</v>
      </c>
    </row>
    <row r="583" spans="1:10" x14ac:dyDescent="0.25">
      <c r="A583" t="s">
        <v>1898</v>
      </c>
      <c r="B583" t="s">
        <v>88</v>
      </c>
      <c r="C583" s="1">
        <v>46130</v>
      </c>
      <c r="D583" t="s">
        <v>1899</v>
      </c>
      <c r="E583" t="s">
        <v>329</v>
      </c>
      <c r="F583" t="s">
        <v>135</v>
      </c>
      <c r="G583" s="14">
        <v>59399</v>
      </c>
      <c r="H583">
        <v>1390</v>
      </c>
      <c r="I583">
        <v>42.73</v>
      </c>
      <c r="J583">
        <v>59399</v>
      </c>
    </row>
    <row r="584" spans="1:10" x14ac:dyDescent="0.25">
      <c r="A584" t="s">
        <v>132</v>
      </c>
      <c r="B584" t="s">
        <v>88</v>
      </c>
      <c r="C584" s="1">
        <v>46129</v>
      </c>
      <c r="D584" t="s">
        <v>1835</v>
      </c>
      <c r="E584" t="s">
        <v>136</v>
      </c>
      <c r="F584" t="s">
        <v>135</v>
      </c>
      <c r="G584" s="14">
        <v>10363.549999999999</v>
      </c>
      <c r="H584">
        <v>1390</v>
      </c>
      <c r="I584">
        <v>7.46</v>
      </c>
      <c r="J584">
        <v>12539.9</v>
      </c>
    </row>
    <row r="585" spans="1:10" x14ac:dyDescent="0.25">
      <c r="A585" t="s">
        <v>1849</v>
      </c>
      <c r="B585" t="s">
        <v>88</v>
      </c>
      <c r="C585" s="1">
        <v>46129</v>
      </c>
      <c r="D585" t="s">
        <v>1850</v>
      </c>
      <c r="E585" t="s">
        <v>90</v>
      </c>
      <c r="F585" t="s">
        <v>91</v>
      </c>
      <c r="G585" s="14">
        <v>33644.370000000003</v>
      </c>
      <c r="H585">
        <v>1390</v>
      </c>
      <c r="I585">
        <v>24.2</v>
      </c>
      <c r="J585">
        <v>40709.69</v>
      </c>
    </row>
    <row r="586" spans="1:10" x14ac:dyDescent="0.25">
      <c r="A586" t="s">
        <v>1849</v>
      </c>
      <c r="B586" t="s">
        <v>88</v>
      </c>
      <c r="C586" s="1">
        <v>46129</v>
      </c>
      <c r="D586" t="s">
        <v>1850</v>
      </c>
      <c r="E586" t="s">
        <v>92</v>
      </c>
      <c r="F586" t="s">
        <v>91</v>
      </c>
      <c r="G586" s="14">
        <v>90.31</v>
      </c>
      <c r="H586">
        <v>1390</v>
      </c>
      <c r="I586">
        <v>0.06</v>
      </c>
      <c r="J586">
        <v>90.31</v>
      </c>
    </row>
    <row r="587" spans="1:10" x14ac:dyDescent="0.25">
      <c r="A587" t="s">
        <v>1134</v>
      </c>
      <c r="B587" t="s">
        <v>88</v>
      </c>
      <c r="C587" s="1">
        <v>46129</v>
      </c>
      <c r="D587" t="s">
        <v>1894</v>
      </c>
      <c r="E587" t="s">
        <v>90</v>
      </c>
      <c r="F587" t="s">
        <v>91</v>
      </c>
      <c r="G587" s="14">
        <v>18227.77</v>
      </c>
      <c r="H587">
        <v>1390</v>
      </c>
      <c r="I587">
        <v>13.11</v>
      </c>
      <c r="J587">
        <v>22055.599999999999</v>
      </c>
    </row>
    <row r="588" spans="1:10" x14ac:dyDescent="0.25">
      <c r="A588" t="s">
        <v>1134</v>
      </c>
      <c r="B588" t="s">
        <v>88</v>
      </c>
      <c r="C588" s="1">
        <v>46129</v>
      </c>
      <c r="D588" t="s">
        <v>1894</v>
      </c>
      <c r="E588" t="s">
        <v>92</v>
      </c>
      <c r="F588" t="s">
        <v>91</v>
      </c>
      <c r="G588" s="14">
        <v>2965.4</v>
      </c>
      <c r="H588">
        <v>1390</v>
      </c>
      <c r="I588">
        <v>2.13</v>
      </c>
      <c r="J588">
        <v>2965.4</v>
      </c>
    </row>
    <row r="589" spans="1:10" x14ac:dyDescent="0.25">
      <c r="A589" t="s">
        <v>1919</v>
      </c>
      <c r="B589" t="s">
        <v>88</v>
      </c>
      <c r="C589" s="1">
        <v>46129</v>
      </c>
      <c r="D589" t="s">
        <v>1920</v>
      </c>
      <c r="E589" t="s">
        <v>90</v>
      </c>
      <c r="F589" t="s">
        <v>91</v>
      </c>
      <c r="G589" s="14">
        <v>117752.01</v>
      </c>
      <c r="H589">
        <v>1390</v>
      </c>
      <c r="I589">
        <v>84.71</v>
      </c>
      <c r="J589">
        <v>142479.94</v>
      </c>
    </row>
    <row r="590" spans="1:10" x14ac:dyDescent="0.25">
      <c r="A590" t="s">
        <v>1919</v>
      </c>
      <c r="B590" t="s">
        <v>88</v>
      </c>
      <c r="C590" s="1">
        <v>46129</v>
      </c>
      <c r="D590" t="s">
        <v>1920</v>
      </c>
      <c r="E590" t="s">
        <v>92</v>
      </c>
      <c r="F590" t="s">
        <v>91</v>
      </c>
      <c r="G590" s="14">
        <v>10532.98</v>
      </c>
      <c r="H590">
        <v>1390</v>
      </c>
      <c r="I590">
        <v>7.58</v>
      </c>
      <c r="J590">
        <v>10532.98</v>
      </c>
    </row>
    <row r="591" spans="1:10" x14ac:dyDescent="0.25">
      <c r="A591" t="s">
        <v>830</v>
      </c>
      <c r="B591" t="s">
        <v>88</v>
      </c>
      <c r="C591" s="1">
        <v>46129</v>
      </c>
      <c r="D591" t="s">
        <v>1971</v>
      </c>
      <c r="E591" t="s">
        <v>90</v>
      </c>
      <c r="F591" t="s">
        <v>91</v>
      </c>
      <c r="G591" s="14">
        <v>95275.06</v>
      </c>
      <c r="H591">
        <v>1390</v>
      </c>
      <c r="I591">
        <v>68.540000000000006</v>
      </c>
      <c r="J591">
        <v>115282.82</v>
      </c>
    </row>
    <row r="592" spans="1:10" x14ac:dyDescent="0.25">
      <c r="A592" t="s">
        <v>830</v>
      </c>
      <c r="B592" t="s">
        <v>88</v>
      </c>
      <c r="C592" s="1">
        <v>46129</v>
      </c>
      <c r="D592" t="s">
        <v>1971</v>
      </c>
      <c r="E592" t="s">
        <v>92</v>
      </c>
      <c r="F592" t="s">
        <v>91</v>
      </c>
      <c r="G592" s="14">
        <v>14732.15</v>
      </c>
      <c r="H592">
        <v>1390</v>
      </c>
      <c r="I592">
        <v>10.6</v>
      </c>
      <c r="J592">
        <v>14732.15</v>
      </c>
    </row>
    <row r="593" spans="1:10" x14ac:dyDescent="0.25">
      <c r="A593" t="s">
        <v>112</v>
      </c>
      <c r="B593" t="s">
        <v>88</v>
      </c>
      <c r="C593" s="1">
        <v>46128</v>
      </c>
      <c r="D593" t="s">
        <v>1821</v>
      </c>
      <c r="E593" t="s">
        <v>114</v>
      </c>
      <c r="F593" t="s">
        <v>117</v>
      </c>
      <c r="G593" s="14">
        <v>1807.55</v>
      </c>
      <c r="H593">
        <v>1380</v>
      </c>
      <c r="I593">
        <v>1.31</v>
      </c>
      <c r="J593">
        <v>2187.14</v>
      </c>
    </row>
    <row r="594" spans="1:10" x14ac:dyDescent="0.25">
      <c r="A594" t="s">
        <v>552</v>
      </c>
      <c r="B594" t="s">
        <v>88</v>
      </c>
      <c r="C594" s="1">
        <v>46128</v>
      </c>
      <c r="D594" t="s">
        <v>2053</v>
      </c>
      <c r="E594" t="s">
        <v>136</v>
      </c>
      <c r="F594" t="s">
        <v>63</v>
      </c>
      <c r="G594" s="14">
        <v>1796353.15</v>
      </c>
      <c r="H594">
        <v>1380</v>
      </c>
      <c r="I594">
        <v>1301.71</v>
      </c>
      <c r="J594">
        <v>2173587.3199999998</v>
      </c>
    </row>
    <row r="595" spans="1:10" x14ac:dyDescent="0.25">
      <c r="A595" t="s">
        <v>552</v>
      </c>
      <c r="B595" t="s">
        <v>88</v>
      </c>
      <c r="C595" s="1">
        <v>46128</v>
      </c>
      <c r="D595" t="s">
        <v>2054</v>
      </c>
      <c r="E595" t="s">
        <v>136</v>
      </c>
      <c r="F595" t="s">
        <v>63</v>
      </c>
      <c r="G595" s="14">
        <v>1706441.84</v>
      </c>
      <c r="H595">
        <v>1380</v>
      </c>
      <c r="I595">
        <v>1236.55</v>
      </c>
      <c r="J595">
        <v>2064794.62</v>
      </c>
    </row>
    <row r="596" spans="1:10" x14ac:dyDescent="0.25">
      <c r="A596" t="s">
        <v>552</v>
      </c>
      <c r="B596" t="s">
        <v>279</v>
      </c>
      <c r="C596" s="1">
        <v>46128</v>
      </c>
      <c r="D596" t="s">
        <v>2055</v>
      </c>
      <c r="E596" t="s">
        <v>136</v>
      </c>
      <c r="F596" t="s">
        <v>63</v>
      </c>
      <c r="G596" s="14">
        <v>-1796353.15</v>
      </c>
      <c r="H596">
        <v>1380</v>
      </c>
      <c r="I596">
        <v>-1301.71</v>
      </c>
      <c r="J596">
        <v>-2173587.3199999998</v>
      </c>
    </row>
    <row r="597" spans="1:10" x14ac:dyDescent="0.25">
      <c r="A597" t="s">
        <v>125</v>
      </c>
      <c r="B597" t="s">
        <v>88</v>
      </c>
      <c r="C597" s="1">
        <v>46127</v>
      </c>
      <c r="D597" t="s">
        <v>1823</v>
      </c>
      <c r="E597" t="s">
        <v>114</v>
      </c>
      <c r="F597" t="s">
        <v>117</v>
      </c>
      <c r="G597" s="14">
        <v>3189</v>
      </c>
      <c r="H597">
        <v>1385</v>
      </c>
      <c r="I597">
        <v>2.2999999999999998</v>
      </c>
      <c r="J597">
        <v>3858.69</v>
      </c>
    </row>
    <row r="598" spans="1:10" x14ac:dyDescent="0.25">
      <c r="A598" t="s">
        <v>125</v>
      </c>
      <c r="B598" t="s">
        <v>88</v>
      </c>
      <c r="C598" s="1">
        <v>46127</v>
      </c>
      <c r="D598" t="s">
        <v>1823</v>
      </c>
      <c r="E598" t="s">
        <v>127</v>
      </c>
      <c r="F598" t="s">
        <v>117</v>
      </c>
      <c r="G598" s="14">
        <v>318.89999999999998</v>
      </c>
      <c r="H598">
        <v>1385</v>
      </c>
      <c r="I598">
        <v>0.23</v>
      </c>
      <c r="J598">
        <v>318.89999999999998</v>
      </c>
    </row>
    <row r="599" spans="1:10" x14ac:dyDescent="0.25">
      <c r="A599" t="s">
        <v>400</v>
      </c>
      <c r="B599" t="s">
        <v>88</v>
      </c>
      <c r="C599" s="1">
        <v>46127</v>
      </c>
      <c r="D599" t="s">
        <v>1933</v>
      </c>
      <c r="E599" t="s">
        <v>184</v>
      </c>
      <c r="F599" t="s">
        <v>31</v>
      </c>
      <c r="G599" s="14">
        <v>29886.04</v>
      </c>
      <c r="H599">
        <v>1385</v>
      </c>
      <c r="I599">
        <v>21.58</v>
      </c>
      <c r="J599">
        <v>36162.11</v>
      </c>
    </row>
    <row r="600" spans="1:10" x14ac:dyDescent="0.25">
      <c r="A600" t="s">
        <v>935</v>
      </c>
      <c r="B600" t="s">
        <v>88</v>
      </c>
      <c r="C600" s="1">
        <v>46126</v>
      </c>
      <c r="D600" t="s">
        <v>1809</v>
      </c>
      <c r="E600" t="s">
        <v>136</v>
      </c>
      <c r="F600" t="s">
        <v>31</v>
      </c>
      <c r="G600" s="14">
        <v>2197054.56</v>
      </c>
      <c r="H600">
        <v>1385</v>
      </c>
      <c r="I600">
        <v>1586.32</v>
      </c>
      <c r="J600">
        <v>2658443.6</v>
      </c>
    </row>
    <row r="601" spans="1:10" x14ac:dyDescent="0.25">
      <c r="A601" t="s">
        <v>161</v>
      </c>
      <c r="B601" t="s">
        <v>88</v>
      </c>
      <c r="C601" s="1">
        <v>46126</v>
      </c>
      <c r="D601" t="s">
        <v>1837</v>
      </c>
      <c r="E601" t="s">
        <v>136</v>
      </c>
      <c r="F601" t="s">
        <v>6</v>
      </c>
      <c r="G601" s="14">
        <v>87532</v>
      </c>
      <c r="H601">
        <v>1385</v>
      </c>
      <c r="I601">
        <v>63.2</v>
      </c>
      <c r="J601">
        <v>105910.95</v>
      </c>
    </row>
    <row r="602" spans="1:10" x14ac:dyDescent="0.25">
      <c r="A602" t="s">
        <v>246</v>
      </c>
      <c r="B602" t="s">
        <v>88</v>
      </c>
      <c r="C602" s="1">
        <v>46126</v>
      </c>
      <c r="D602" t="s">
        <v>1861</v>
      </c>
      <c r="E602" t="s">
        <v>114</v>
      </c>
      <c r="F602" t="s">
        <v>117</v>
      </c>
      <c r="G602" s="14">
        <v>4958.68</v>
      </c>
      <c r="H602">
        <v>1385</v>
      </c>
      <c r="I602">
        <v>3.58</v>
      </c>
      <c r="J602">
        <v>6000</v>
      </c>
    </row>
    <row r="603" spans="1:10" x14ac:dyDescent="0.25">
      <c r="A603" t="s">
        <v>393</v>
      </c>
      <c r="B603" t="s">
        <v>88</v>
      </c>
      <c r="C603" s="1">
        <v>46126</v>
      </c>
      <c r="D603" t="s">
        <v>1925</v>
      </c>
      <c r="E603" t="s">
        <v>205</v>
      </c>
      <c r="F603" t="s">
        <v>206</v>
      </c>
      <c r="G603" s="14">
        <v>54779</v>
      </c>
      <c r="H603">
        <v>1385</v>
      </c>
      <c r="I603">
        <v>39.549999999999997</v>
      </c>
      <c r="J603">
        <v>66282.59</v>
      </c>
    </row>
    <row r="604" spans="1:10" x14ac:dyDescent="0.25">
      <c r="A604" t="s">
        <v>769</v>
      </c>
      <c r="B604" t="s">
        <v>88</v>
      </c>
      <c r="C604" s="1">
        <v>46126</v>
      </c>
      <c r="D604" t="s">
        <v>1926</v>
      </c>
      <c r="E604" t="s">
        <v>90</v>
      </c>
      <c r="F604" t="s">
        <v>91</v>
      </c>
      <c r="G604" s="14">
        <v>145527.25</v>
      </c>
      <c r="H604">
        <v>1385</v>
      </c>
      <c r="I604">
        <v>105.07</v>
      </c>
      <c r="J604">
        <v>176087.97</v>
      </c>
    </row>
    <row r="605" spans="1:10" x14ac:dyDescent="0.25">
      <c r="A605" t="s">
        <v>769</v>
      </c>
      <c r="B605" t="s">
        <v>88</v>
      </c>
      <c r="C605" s="1">
        <v>46126</v>
      </c>
      <c r="D605" t="s">
        <v>1926</v>
      </c>
      <c r="E605" t="s">
        <v>92</v>
      </c>
      <c r="F605" t="s">
        <v>91</v>
      </c>
      <c r="G605" s="14">
        <v>20895.57</v>
      </c>
      <c r="H605">
        <v>1385</v>
      </c>
      <c r="I605">
        <v>15.09</v>
      </c>
      <c r="J605">
        <v>20895.57</v>
      </c>
    </row>
    <row r="606" spans="1:10" x14ac:dyDescent="0.25">
      <c r="A606" t="s">
        <v>1362</v>
      </c>
      <c r="B606" t="s">
        <v>88</v>
      </c>
      <c r="C606" s="1">
        <v>46126</v>
      </c>
      <c r="D606" t="s">
        <v>1984</v>
      </c>
      <c r="E606" t="s">
        <v>136</v>
      </c>
      <c r="F606" t="s">
        <v>31</v>
      </c>
      <c r="G606" s="14">
        <v>995815</v>
      </c>
      <c r="H606">
        <v>1385</v>
      </c>
      <c r="I606">
        <v>719</v>
      </c>
      <c r="J606">
        <v>1204936.1499999999</v>
      </c>
    </row>
    <row r="607" spans="1:10" x14ac:dyDescent="0.25">
      <c r="A607" t="s">
        <v>504</v>
      </c>
      <c r="B607" t="s">
        <v>88</v>
      </c>
      <c r="C607" s="1">
        <v>46126</v>
      </c>
      <c r="D607" t="s">
        <v>2015</v>
      </c>
      <c r="E607" t="s">
        <v>506</v>
      </c>
      <c r="F607" t="s">
        <v>109</v>
      </c>
      <c r="G607" s="14">
        <v>282364.71999999997</v>
      </c>
      <c r="H607">
        <v>1385</v>
      </c>
      <c r="I607">
        <v>203.87</v>
      </c>
      <c r="J607">
        <v>358603.19</v>
      </c>
    </row>
    <row r="608" spans="1:10" x14ac:dyDescent="0.25">
      <c r="A608" t="s">
        <v>132</v>
      </c>
      <c r="B608" t="s">
        <v>88</v>
      </c>
      <c r="C608" s="1">
        <v>46125</v>
      </c>
      <c r="D608" t="s">
        <v>1834</v>
      </c>
      <c r="E608" t="s">
        <v>136</v>
      </c>
      <c r="F608" t="s">
        <v>1831</v>
      </c>
      <c r="G608" s="14">
        <v>98498.880000000005</v>
      </c>
      <c r="H608">
        <v>1385</v>
      </c>
      <c r="I608">
        <v>71.12</v>
      </c>
      <c r="J608">
        <v>119183.64</v>
      </c>
    </row>
    <row r="609" spans="1:10" x14ac:dyDescent="0.25">
      <c r="A609" t="s">
        <v>1239</v>
      </c>
      <c r="B609" t="s">
        <v>88</v>
      </c>
      <c r="C609" s="1">
        <v>46125</v>
      </c>
      <c r="D609" t="s">
        <v>1943</v>
      </c>
      <c r="E609" t="s">
        <v>524</v>
      </c>
      <c r="F609" t="s">
        <v>1212</v>
      </c>
      <c r="G609" s="14">
        <v>120355.37</v>
      </c>
      <c r="H609">
        <v>1385</v>
      </c>
      <c r="I609">
        <v>86.9</v>
      </c>
      <c r="J609">
        <v>145630</v>
      </c>
    </row>
    <row r="610" spans="1:10" x14ac:dyDescent="0.25">
      <c r="A610" t="s">
        <v>1239</v>
      </c>
      <c r="B610" t="s">
        <v>279</v>
      </c>
      <c r="C610" s="1">
        <v>46125</v>
      </c>
      <c r="D610" t="s">
        <v>1944</v>
      </c>
      <c r="E610" t="s">
        <v>524</v>
      </c>
      <c r="F610" t="s">
        <v>1212</v>
      </c>
      <c r="G610" s="14">
        <v>-144885.12</v>
      </c>
      <c r="H610">
        <v>1385</v>
      </c>
      <c r="I610">
        <v>-104.61</v>
      </c>
      <c r="J610">
        <v>-175311</v>
      </c>
    </row>
    <row r="611" spans="1:10" x14ac:dyDescent="0.25">
      <c r="A611" t="s">
        <v>1972</v>
      </c>
      <c r="B611" t="s">
        <v>88</v>
      </c>
      <c r="C611" s="1">
        <v>46124</v>
      </c>
      <c r="D611" t="s">
        <v>1973</v>
      </c>
      <c r="E611" t="s">
        <v>90</v>
      </c>
      <c r="F611" t="s">
        <v>91</v>
      </c>
      <c r="G611" s="14">
        <v>102054.18</v>
      </c>
      <c r="H611">
        <v>1395</v>
      </c>
      <c r="I611">
        <v>73.16</v>
      </c>
      <c r="J611">
        <v>123485.56</v>
      </c>
    </row>
    <row r="612" spans="1:10" x14ac:dyDescent="0.25">
      <c r="A612" t="s">
        <v>1972</v>
      </c>
      <c r="B612" t="s">
        <v>88</v>
      </c>
      <c r="C612" s="1">
        <v>46124</v>
      </c>
      <c r="D612" t="s">
        <v>1973</v>
      </c>
      <c r="E612" t="s">
        <v>92</v>
      </c>
      <c r="F612" t="s">
        <v>91</v>
      </c>
      <c r="G612" s="14">
        <v>6519.49</v>
      </c>
      <c r="H612">
        <v>1395</v>
      </c>
      <c r="I612">
        <v>4.67</v>
      </c>
      <c r="J612">
        <v>6519.49</v>
      </c>
    </row>
    <row r="613" spans="1:10" x14ac:dyDescent="0.25">
      <c r="A613" t="s">
        <v>1993</v>
      </c>
      <c r="B613" t="s">
        <v>88</v>
      </c>
      <c r="C613" s="1">
        <v>46124</v>
      </c>
      <c r="D613" t="s">
        <v>1994</v>
      </c>
      <c r="E613" t="s">
        <v>90</v>
      </c>
      <c r="F613" t="s">
        <v>91</v>
      </c>
      <c r="G613" s="14">
        <v>75254.960000000006</v>
      </c>
      <c r="H613">
        <v>1395</v>
      </c>
      <c r="I613">
        <v>53.95</v>
      </c>
      <c r="J613">
        <v>91058.5</v>
      </c>
    </row>
    <row r="614" spans="1:10" x14ac:dyDescent="0.25">
      <c r="A614" t="s">
        <v>1993</v>
      </c>
      <c r="B614" t="s">
        <v>88</v>
      </c>
      <c r="C614" s="1">
        <v>46124</v>
      </c>
      <c r="D614" t="s">
        <v>1994</v>
      </c>
      <c r="E614" t="s">
        <v>92</v>
      </c>
      <c r="F614" t="s">
        <v>91</v>
      </c>
      <c r="G614" s="14">
        <v>10944.55</v>
      </c>
      <c r="H614">
        <v>1395</v>
      </c>
      <c r="I614">
        <v>7.85</v>
      </c>
      <c r="J614">
        <v>10944.55</v>
      </c>
    </row>
    <row r="615" spans="1:10" x14ac:dyDescent="0.25">
      <c r="A615" t="s">
        <v>364</v>
      </c>
      <c r="B615" t="s">
        <v>88</v>
      </c>
      <c r="C615" s="1">
        <v>46122</v>
      </c>
      <c r="D615" t="s">
        <v>1907</v>
      </c>
      <c r="E615" t="s">
        <v>102</v>
      </c>
      <c r="F615" t="s">
        <v>109</v>
      </c>
      <c r="G615" s="14">
        <v>16500</v>
      </c>
      <c r="H615">
        <v>1395</v>
      </c>
      <c r="I615">
        <v>11.83</v>
      </c>
      <c r="J615">
        <v>16500</v>
      </c>
    </row>
    <row r="616" spans="1:10" x14ac:dyDescent="0.25">
      <c r="A616" t="s">
        <v>1645</v>
      </c>
      <c r="B616" t="s">
        <v>96</v>
      </c>
      <c r="C616" s="1">
        <v>46122</v>
      </c>
      <c r="D616" t="s">
        <v>1927</v>
      </c>
      <c r="E616" t="s">
        <v>1647</v>
      </c>
      <c r="F616" t="s">
        <v>85</v>
      </c>
      <c r="G616" s="14">
        <v>89460.6</v>
      </c>
      <c r="H616">
        <v>1395</v>
      </c>
      <c r="I616">
        <v>64.13</v>
      </c>
      <c r="J616">
        <v>89460.6</v>
      </c>
    </row>
    <row r="617" spans="1:10" x14ac:dyDescent="0.25">
      <c r="A617" t="s">
        <v>1239</v>
      </c>
      <c r="B617" t="s">
        <v>88</v>
      </c>
      <c r="C617" s="1">
        <v>46122</v>
      </c>
      <c r="D617" t="s">
        <v>1942</v>
      </c>
      <c r="E617" t="s">
        <v>524</v>
      </c>
      <c r="F617" t="s">
        <v>1212</v>
      </c>
      <c r="G617" s="14">
        <v>154406.10999999999</v>
      </c>
      <c r="H617">
        <v>1395</v>
      </c>
      <c r="I617">
        <v>110.69</v>
      </c>
      <c r="J617">
        <v>186831.39</v>
      </c>
    </row>
    <row r="618" spans="1:10" x14ac:dyDescent="0.25">
      <c r="A618" t="s">
        <v>527</v>
      </c>
      <c r="B618" t="s">
        <v>88</v>
      </c>
      <c r="C618" s="1">
        <v>46122</v>
      </c>
      <c r="D618" t="s">
        <v>2038</v>
      </c>
      <c r="E618" t="s">
        <v>297</v>
      </c>
      <c r="F618" t="s">
        <v>31</v>
      </c>
      <c r="G618" s="14">
        <v>288920.44</v>
      </c>
      <c r="H618">
        <v>1395</v>
      </c>
      <c r="I618">
        <v>207.11</v>
      </c>
      <c r="J618">
        <v>349587.32</v>
      </c>
    </row>
    <row r="619" spans="1:10" x14ac:dyDescent="0.25">
      <c r="A619" t="s">
        <v>527</v>
      </c>
      <c r="B619" t="s">
        <v>88</v>
      </c>
      <c r="C619" s="1">
        <v>46122</v>
      </c>
      <c r="D619" t="s">
        <v>2038</v>
      </c>
      <c r="E619" t="s">
        <v>529</v>
      </c>
      <c r="F619" t="s">
        <v>31</v>
      </c>
      <c r="G619" s="14">
        <v>418200</v>
      </c>
      <c r="H619">
        <v>1395</v>
      </c>
      <c r="I619">
        <v>299.77999999999997</v>
      </c>
      <c r="J619">
        <v>506022</v>
      </c>
    </row>
    <row r="620" spans="1:10" x14ac:dyDescent="0.25">
      <c r="A620" t="s">
        <v>527</v>
      </c>
      <c r="B620" t="s">
        <v>88</v>
      </c>
      <c r="C620" s="1">
        <v>46122</v>
      </c>
      <c r="D620" t="s">
        <v>2039</v>
      </c>
      <c r="E620" t="s">
        <v>184</v>
      </c>
      <c r="F620" t="s">
        <v>31</v>
      </c>
      <c r="G620" s="14">
        <v>1255468.5</v>
      </c>
      <c r="H620">
        <v>1395</v>
      </c>
      <c r="I620">
        <v>899.98</v>
      </c>
      <c r="J620">
        <v>1519116.88</v>
      </c>
    </row>
    <row r="621" spans="1:10" x14ac:dyDescent="0.25">
      <c r="A621" t="s">
        <v>527</v>
      </c>
      <c r="B621" t="s">
        <v>470</v>
      </c>
      <c r="C621" s="1">
        <v>46122</v>
      </c>
      <c r="D621" t="s">
        <v>2043</v>
      </c>
      <c r="E621" t="s">
        <v>297</v>
      </c>
      <c r="F621" t="s">
        <v>31</v>
      </c>
      <c r="G621" s="14">
        <v>10281.700000000001</v>
      </c>
      <c r="H621">
        <v>1395</v>
      </c>
      <c r="I621">
        <v>7.37</v>
      </c>
      <c r="J621">
        <v>12440.86</v>
      </c>
    </row>
    <row r="622" spans="1:10" x14ac:dyDescent="0.25">
      <c r="A622" t="s">
        <v>527</v>
      </c>
      <c r="B622" t="s">
        <v>470</v>
      </c>
      <c r="C622" s="1">
        <v>46122</v>
      </c>
      <c r="D622" t="s">
        <v>2043</v>
      </c>
      <c r="E622" t="s">
        <v>84</v>
      </c>
      <c r="F622" t="s">
        <v>31</v>
      </c>
      <c r="G622" s="14">
        <v>856808.69</v>
      </c>
      <c r="H622">
        <v>1395</v>
      </c>
      <c r="I622">
        <v>614.20000000000005</v>
      </c>
      <c r="J622">
        <v>856808.69</v>
      </c>
    </row>
    <row r="623" spans="1:10" x14ac:dyDescent="0.25">
      <c r="A623" t="s">
        <v>552</v>
      </c>
      <c r="B623" t="s">
        <v>88</v>
      </c>
      <c r="C623" s="1">
        <v>46122</v>
      </c>
      <c r="D623" t="s">
        <v>2051</v>
      </c>
      <c r="E623" t="s">
        <v>136</v>
      </c>
      <c r="F623" t="s">
        <v>31</v>
      </c>
      <c r="G623" s="14">
        <v>1070146.28</v>
      </c>
      <c r="H623">
        <v>1395</v>
      </c>
      <c r="I623">
        <v>767.13</v>
      </c>
      <c r="J623">
        <v>1294877</v>
      </c>
    </row>
    <row r="624" spans="1:10" x14ac:dyDescent="0.25">
      <c r="A624" t="s">
        <v>289</v>
      </c>
      <c r="B624" t="s">
        <v>88</v>
      </c>
      <c r="C624" s="1">
        <v>46121</v>
      </c>
      <c r="D624" t="s">
        <v>1891</v>
      </c>
      <c r="E624" t="s">
        <v>138</v>
      </c>
      <c r="F624" t="s">
        <v>139</v>
      </c>
      <c r="G624" s="14">
        <v>49280</v>
      </c>
      <c r="H624">
        <v>1405</v>
      </c>
      <c r="I624">
        <v>35.07</v>
      </c>
      <c r="J624">
        <v>59628.800000000003</v>
      </c>
    </row>
    <row r="625" spans="1:10" x14ac:dyDescent="0.25">
      <c r="A625" t="s">
        <v>533</v>
      </c>
      <c r="B625" t="s">
        <v>88</v>
      </c>
      <c r="C625" s="1">
        <v>46121</v>
      </c>
      <c r="D625" t="s">
        <v>2045</v>
      </c>
      <c r="E625" t="s">
        <v>90</v>
      </c>
      <c r="F625" t="s">
        <v>91</v>
      </c>
      <c r="G625" s="14">
        <v>14567.04</v>
      </c>
      <c r="H625">
        <v>1405</v>
      </c>
      <c r="I625">
        <v>10.37</v>
      </c>
      <c r="J625">
        <v>17626.12</v>
      </c>
    </row>
    <row r="626" spans="1:10" x14ac:dyDescent="0.25">
      <c r="A626" t="s">
        <v>533</v>
      </c>
      <c r="B626" t="s">
        <v>88</v>
      </c>
      <c r="C626" s="1">
        <v>46121</v>
      </c>
      <c r="D626" t="s">
        <v>2045</v>
      </c>
      <c r="E626" t="s">
        <v>92</v>
      </c>
      <c r="F626" t="s">
        <v>91</v>
      </c>
      <c r="G626" s="14">
        <v>73.88</v>
      </c>
      <c r="H626">
        <v>1405</v>
      </c>
      <c r="I626">
        <v>0.05</v>
      </c>
      <c r="J626">
        <v>73.88</v>
      </c>
    </row>
    <row r="627" spans="1:10" x14ac:dyDescent="0.25">
      <c r="A627" t="s">
        <v>1788</v>
      </c>
      <c r="B627" t="s">
        <v>88</v>
      </c>
      <c r="C627" s="1">
        <v>46121</v>
      </c>
      <c r="D627" t="s">
        <v>2057</v>
      </c>
      <c r="E627" t="s">
        <v>136</v>
      </c>
      <c r="F627" t="s">
        <v>63</v>
      </c>
      <c r="G627" s="14">
        <v>104132.23</v>
      </c>
      <c r="H627">
        <v>1405</v>
      </c>
      <c r="I627">
        <v>74.12</v>
      </c>
      <c r="J627">
        <v>126000</v>
      </c>
    </row>
    <row r="628" spans="1:10" x14ac:dyDescent="0.25">
      <c r="A628" t="s">
        <v>931</v>
      </c>
      <c r="B628" t="s">
        <v>88</v>
      </c>
      <c r="C628" s="1">
        <v>46121</v>
      </c>
      <c r="D628" t="s">
        <v>2066</v>
      </c>
      <c r="E628" t="s">
        <v>90</v>
      </c>
      <c r="F628" t="s">
        <v>91</v>
      </c>
      <c r="G628" s="14">
        <v>87297.76</v>
      </c>
      <c r="H628">
        <v>1405</v>
      </c>
      <c r="I628">
        <v>62.13</v>
      </c>
      <c r="J628">
        <v>105630.29</v>
      </c>
    </row>
    <row r="629" spans="1:10" x14ac:dyDescent="0.25">
      <c r="A629" t="s">
        <v>931</v>
      </c>
      <c r="B629" t="s">
        <v>88</v>
      </c>
      <c r="C629" s="1">
        <v>46121</v>
      </c>
      <c r="D629" t="s">
        <v>2066</v>
      </c>
      <c r="E629" t="s">
        <v>92</v>
      </c>
      <c r="F629" t="s">
        <v>91</v>
      </c>
      <c r="G629" s="14">
        <v>9457.74</v>
      </c>
      <c r="H629">
        <v>1405</v>
      </c>
      <c r="I629">
        <v>6.73</v>
      </c>
      <c r="J629">
        <v>9457.74</v>
      </c>
    </row>
    <row r="630" spans="1:10" x14ac:dyDescent="0.25">
      <c r="A630" t="s">
        <v>931</v>
      </c>
      <c r="B630" t="s">
        <v>88</v>
      </c>
      <c r="C630" s="1">
        <v>46121</v>
      </c>
      <c r="D630" t="s">
        <v>2067</v>
      </c>
      <c r="E630" t="s">
        <v>90</v>
      </c>
      <c r="F630" t="s">
        <v>91</v>
      </c>
      <c r="G630" s="14">
        <v>84202.2</v>
      </c>
      <c r="H630">
        <v>1405</v>
      </c>
      <c r="I630">
        <v>59.93</v>
      </c>
      <c r="J630">
        <v>101884.66</v>
      </c>
    </row>
    <row r="631" spans="1:10" x14ac:dyDescent="0.25">
      <c r="A631" t="s">
        <v>931</v>
      </c>
      <c r="B631" t="s">
        <v>88</v>
      </c>
      <c r="C631" s="1">
        <v>46121</v>
      </c>
      <c r="D631" t="s">
        <v>2067</v>
      </c>
      <c r="E631" t="s">
        <v>92</v>
      </c>
      <c r="F631" t="s">
        <v>91</v>
      </c>
      <c r="G631" s="14">
        <v>9122.3700000000008</v>
      </c>
      <c r="H631">
        <v>1405</v>
      </c>
      <c r="I631">
        <v>6.49</v>
      </c>
      <c r="J631">
        <v>9122.3700000000008</v>
      </c>
    </row>
    <row r="632" spans="1:10" x14ac:dyDescent="0.25">
      <c r="A632" t="s">
        <v>175</v>
      </c>
      <c r="B632" t="s">
        <v>88</v>
      </c>
      <c r="C632" s="1">
        <v>46120</v>
      </c>
      <c r="D632" t="s">
        <v>1841</v>
      </c>
      <c r="E632" t="s">
        <v>177</v>
      </c>
      <c r="F632" t="s">
        <v>109</v>
      </c>
      <c r="G632" s="14">
        <v>20189.36</v>
      </c>
      <c r="H632">
        <v>1410</v>
      </c>
      <c r="I632">
        <v>14.32</v>
      </c>
      <c r="J632">
        <v>25640.49</v>
      </c>
    </row>
    <row r="633" spans="1:10" x14ac:dyDescent="0.25">
      <c r="A633" t="s">
        <v>564</v>
      </c>
      <c r="B633" t="s">
        <v>88</v>
      </c>
      <c r="C633" s="1">
        <v>46119</v>
      </c>
      <c r="D633" t="s">
        <v>1814</v>
      </c>
      <c r="E633" t="s">
        <v>297</v>
      </c>
      <c r="F633" t="s">
        <v>31</v>
      </c>
      <c r="G633" s="14">
        <v>665134.9</v>
      </c>
      <c r="H633">
        <v>1415</v>
      </c>
      <c r="I633">
        <v>470.06</v>
      </c>
      <c r="J633">
        <v>804809.55</v>
      </c>
    </row>
    <row r="634" spans="1:10" x14ac:dyDescent="0.25">
      <c r="A634" t="s">
        <v>295</v>
      </c>
      <c r="B634" t="s">
        <v>88</v>
      </c>
      <c r="C634" s="1">
        <v>46119</v>
      </c>
      <c r="D634" t="s">
        <v>1893</v>
      </c>
      <c r="E634" t="s">
        <v>297</v>
      </c>
      <c r="F634" t="s">
        <v>31</v>
      </c>
      <c r="G634" s="14">
        <v>32257.85</v>
      </c>
      <c r="H634">
        <v>1415</v>
      </c>
      <c r="I634">
        <v>22.8</v>
      </c>
      <c r="J634">
        <v>39032</v>
      </c>
    </row>
    <row r="635" spans="1:10" x14ac:dyDescent="0.25">
      <c r="A635" t="s">
        <v>81</v>
      </c>
      <c r="B635" t="s">
        <v>208</v>
      </c>
      <c r="C635" s="1">
        <v>46118</v>
      </c>
      <c r="D635" t="s">
        <v>1817</v>
      </c>
      <c r="E635" t="s">
        <v>84</v>
      </c>
      <c r="F635" t="s">
        <v>31</v>
      </c>
      <c r="G635" s="14">
        <v>5243977.08</v>
      </c>
      <c r="H635">
        <v>1415</v>
      </c>
      <c r="I635">
        <v>3705.99</v>
      </c>
      <c r="J635">
        <v>5243977.08</v>
      </c>
    </row>
    <row r="636" spans="1:10" x14ac:dyDescent="0.25">
      <c r="A636" t="s">
        <v>81</v>
      </c>
      <c r="B636" t="s">
        <v>208</v>
      </c>
      <c r="C636" s="1">
        <v>46118</v>
      </c>
      <c r="D636" t="s">
        <v>1817</v>
      </c>
      <c r="E636" t="s">
        <v>570</v>
      </c>
      <c r="G636" s="14">
        <v>0</v>
      </c>
      <c r="H636">
        <v>1415</v>
      </c>
      <c r="I636">
        <v>0</v>
      </c>
      <c r="J636">
        <v>6703927.2199999997</v>
      </c>
    </row>
    <row r="637" spans="1:10" x14ac:dyDescent="0.25">
      <c r="A637" t="s">
        <v>383</v>
      </c>
      <c r="B637" t="s">
        <v>88</v>
      </c>
      <c r="C637" s="1">
        <v>46118</v>
      </c>
      <c r="D637" t="s">
        <v>1922</v>
      </c>
      <c r="E637" t="s">
        <v>136</v>
      </c>
      <c r="F637" t="s">
        <v>135</v>
      </c>
      <c r="G637" s="14">
        <v>100271.21</v>
      </c>
      <c r="H637">
        <v>1415</v>
      </c>
      <c r="I637">
        <v>70.86</v>
      </c>
      <c r="J637">
        <v>121328.16</v>
      </c>
    </row>
    <row r="638" spans="1:10" x14ac:dyDescent="0.25">
      <c r="A638" t="s">
        <v>1362</v>
      </c>
      <c r="B638" t="s">
        <v>88</v>
      </c>
      <c r="C638" s="1">
        <v>46118</v>
      </c>
      <c r="D638" t="s">
        <v>1983</v>
      </c>
      <c r="E638" t="s">
        <v>136</v>
      </c>
      <c r="F638" t="s">
        <v>31</v>
      </c>
      <c r="G638" s="14">
        <v>1093795</v>
      </c>
      <c r="H638">
        <v>1415</v>
      </c>
      <c r="I638">
        <v>773</v>
      </c>
      <c r="J638">
        <v>1323491.95</v>
      </c>
    </row>
    <row r="639" spans="1:10" x14ac:dyDescent="0.25">
      <c r="A639" t="s">
        <v>490</v>
      </c>
      <c r="B639" t="s">
        <v>96</v>
      </c>
      <c r="C639" s="1">
        <v>46118</v>
      </c>
      <c r="D639" t="s">
        <v>2002</v>
      </c>
      <c r="E639" t="s">
        <v>84</v>
      </c>
      <c r="F639" t="s">
        <v>31</v>
      </c>
      <c r="G639" s="14">
        <v>1327.62</v>
      </c>
      <c r="H639">
        <v>1415</v>
      </c>
      <c r="I639">
        <v>0.94</v>
      </c>
      <c r="J639">
        <v>1327.62</v>
      </c>
    </row>
    <row r="640" spans="1:10" x14ac:dyDescent="0.25">
      <c r="A640" t="s">
        <v>490</v>
      </c>
      <c r="B640" t="s">
        <v>96</v>
      </c>
      <c r="C640" s="1">
        <v>46118</v>
      </c>
      <c r="D640" t="s">
        <v>2003</v>
      </c>
      <c r="E640" t="s">
        <v>84</v>
      </c>
      <c r="F640" t="s">
        <v>31</v>
      </c>
      <c r="G640" s="14">
        <v>11639.52</v>
      </c>
      <c r="H640">
        <v>1415</v>
      </c>
      <c r="I640">
        <v>8.23</v>
      </c>
      <c r="J640">
        <v>11639.52</v>
      </c>
    </row>
    <row r="641" spans="1:10" x14ac:dyDescent="0.25">
      <c r="A641" t="s">
        <v>501</v>
      </c>
      <c r="B641" t="s">
        <v>88</v>
      </c>
      <c r="C641" s="1">
        <v>46118</v>
      </c>
      <c r="D641" t="s">
        <v>2007</v>
      </c>
      <c r="E641" t="s">
        <v>205</v>
      </c>
      <c r="F641" t="s">
        <v>109</v>
      </c>
      <c r="G641" s="14">
        <v>251030.28</v>
      </c>
      <c r="H641">
        <v>1415</v>
      </c>
      <c r="I641">
        <v>177.41</v>
      </c>
      <c r="J641">
        <v>303746.64</v>
      </c>
    </row>
    <row r="642" spans="1:10" x14ac:dyDescent="0.25">
      <c r="A642" t="s">
        <v>1055</v>
      </c>
      <c r="B642" t="s">
        <v>88</v>
      </c>
      <c r="C642" s="1">
        <v>46117</v>
      </c>
      <c r="D642" t="s">
        <v>1851</v>
      </c>
      <c r="E642" t="s">
        <v>90</v>
      </c>
      <c r="F642" t="s">
        <v>91</v>
      </c>
      <c r="G642" s="14">
        <v>119838.44</v>
      </c>
      <c r="H642">
        <v>1415</v>
      </c>
      <c r="I642">
        <v>84.69</v>
      </c>
      <c r="J642">
        <v>145004.51999999999</v>
      </c>
    </row>
    <row r="643" spans="1:10" x14ac:dyDescent="0.25">
      <c r="A643" t="s">
        <v>1055</v>
      </c>
      <c r="B643" t="s">
        <v>88</v>
      </c>
      <c r="C643" s="1">
        <v>46117</v>
      </c>
      <c r="D643" t="s">
        <v>1851</v>
      </c>
      <c r="E643" t="s">
        <v>92</v>
      </c>
      <c r="F643" t="s">
        <v>91</v>
      </c>
      <c r="G643" s="14">
        <v>17994.48</v>
      </c>
      <c r="H643">
        <v>1415</v>
      </c>
      <c r="I643">
        <v>12.72</v>
      </c>
      <c r="J643">
        <v>17994.48</v>
      </c>
    </row>
    <row r="644" spans="1:10" x14ac:dyDescent="0.25">
      <c r="A644" t="s">
        <v>287</v>
      </c>
      <c r="B644" t="s">
        <v>88</v>
      </c>
      <c r="C644" s="1">
        <v>46117</v>
      </c>
      <c r="D644" t="s">
        <v>1882</v>
      </c>
      <c r="E644" t="s">
        <v>136</v>
      </c>
      <c r="F644" t="s">
        <v>31</v>
      </c>
      <c r="G644" s="14">
        <v>546420.12</v>
      </c>
      <c r="H644">
        <v>1415</v>
      </c>
      <c r="I644">
        <v>386.16</v>
      </c>
      <c r="J644">
        <v>661168.35</v>
      </c>
    </row>
    <row r="645" spans="1:10" x14ac:dyDescent="0.25">
      <c r="A645" t="s">
        <v>287</v>
      </c>
      <c r="B645" t="s">
        <v>88</v>
      </c>
      <c r="C645" s="1">
        <v>46117</v>
      </c>
      <c r="D645" t="s">
        <v>1882</v>
      </c>
      <c r="E645" t="s">
        <v>329</v>
      </c>
      <c r="F645" t="s">
        <v>31</v>
      </c>
      <c r="G645" s="14">
        <v>-546420.12</v>
      </c>
      <c r="H645">
        <v>1415</v>
      </c>
      <c r="I645">
        <v>-386.16</v>
      </c>
      <c r="J645">
        <v>-546420.12</v>
      </c>
    </row>
    <row r="646" spans="1:10" x14ac:dyDescent="0.25">
      <c r="A646" t="s">
        <v>287</v>
      </c>
      <c r="B646" t="s">
        <v>88</v>
      </c>
      <c r="C646" s="1">
        <v>46117</v>
      </c>
      <c r="D646" t="s">
        <v>1882</v>
      </c>
      <c r="E646" t="s">
        <v>184</v>
      </c>
      <c r="F646" t="s">
        <v>31</v>
      </c>
      <c r="G646" s="14">
        <v>124735.12</v>
      </c>
      <c r="H646">
        <v>1415</v>
      </c>
      <c r="I646">
        <v>88.15</v>
      </c>
      <c r="J646">
        <v>150920.29</v>
      </c>
    </row>
    <row r="647" spans="1:10" x14ac:dyDescent="0.25">
      <c r="A647" t="s">
        <v>1263</v>
      </c>
      <c r="B647" t="s">
        <v>88</v>
      </c>
      <c r="C647" s="1">
        <v>46116</v>
      </c>
      <c r="D647" t="s">
        <v>1950</v>
      </c>
      <c r="E647" t="s">
        <v>102</v>
      </c>
      <c r="F647" t="s">
        <v>8</v>
      </c>
      <c r="G647" s="14">
        <v>31250</v>
      </c>
      <c r="H647">
        <v>1415</v>
      </c>
      <c r="I647">
        <v>22.08</v>
      </c>
      <c r="J647">
        <v>31250</v>
      </c>
    </row>
    <row r="648" spans="1:10" x14ac:dyDescent="0.25">
      <c r="A648" t="s">
        <v>504</v>
      </c>
      <c r="B648" t="s">
        <v>88</v>
      </c>
      <c r="C648" s="1">
        <v>46115</v>
      </c>
      <c r="D648" t="s">
        <v>2012</v>
      </c>
      <c r="E648" t="s">
        <v>422</v>
      </c>
      <c r="F648" t="s">
        <v>109</v>
      </c>
      <c r="G648" s="14">
        <v>59445</v>
      </c>
      <c r="H648">
        <v>1415</v>
      </c>
      <c r="I648">
        <v>42.01</v>
      </c>
      <c r="J648">
        <v>71928.45</v>
      </c>
    </row>
    <row r="649" spans="1:10" x14ac:dyDescent="0.25">
      <c r="A649" t="s">
        <v>265</v>
      </c>
      <c r="B649" t="s">
        <v>88</v>
      </c>
      <c r="C649" s="1">
        <v>46114</v>
      </c>
      <c r="D649" t="s">
        <v>1872</v>
      </c>
      <c r="E649" t="s">
        <v>267</v>
      </c>
      <c r="F649" t="s">
        <v>109</v>
      </c>
      <c r="G649" s="14">
        <v>95800</v>
      </c>
      <c r="H649">
        <v>1415</v>
      </c>
      <c r="I649">
        <v>67.7</v>
      </c>
      <c r="J649">
        <v>115918</v>
      </c>
    </row>
    <row r="650" spans="1:10" x14ac:dyDescent="0.25">
      <c r="A650" t="s">
        <v>106</v>
      </c>
      <c r="B650" t="s">
        <v>88</v>
      </c>
      <c r="C650" s="1">
        <v>46113</v>
      </c>
      <c r="D650" t="s">
        <v>1818</v>
      </c>
      <c r="E650" t="s">
        <v>102</v>
      </c>
      <c r="F650" t="s">
        <v>109</v>
      </c>
      <c r="G650" s="14">
        <v>61295</v>
      </c>
      <c r="H650">
        <v>1415</v>
      </c>
      <c r="I650">
        <v>43.32</v>
      </c>
      <c r="J650">
        <v>61295</v>
      </c>
    </row>
    <row r="651" spans="1:10" x14ac:dyDescent="0.25">
      <c r="A651" t="s">
        <v>112</v>
      </c>
      <c r="B651" t="s">
        <v>88</v>
      </c>
      <c r="C651" s="1">
        <v>46113</v>
      </c>
      <c r="D651" t="s">
        <v>1820</v>
      </c>
      <c r="E651" t="s">
        <v>114</v>
      </c>
      <c r="F651" t="s">
        <v>117</v>
      </c>
      <c r="G651" s="14">
        <v>1807.55</v>
      </c>
      <c r="H651">
        <v>1415</v>
      </c>
      <c r="I651">
        <v>1.28</v>
      </c>
      <c r="J651">
        <v>2187.14</v>
      </c>
    </row>
    <row r="652" spans="1:10" x14ac:dyDescent="0.25">
      <c r="A652" t="s">
        <v>132</v>
      </c>
      <c r="B652" t="s">
        <v>88</v>
      </c>
      <c r="C652" s="1">
        <v>46113</v>
      </c>
      <c r="D652" t="s">
        <v>1829</v>
      </c>
      <c r="E652" t="s">
        <v>136</v>
      </c>
      <c r="F652" t="s">
        <v>31</v>
      </c>
      <c r="G652" s="14">
        <v>10233</v>
      </c>
      <c r="H652">
        <v>1415</v>
      </c>
      <c r="I652">
        <v>7.23</v>
      </c>
      <c r="J652">
        <v>12381.93</v>
      </c>
    </row>
    <row r="653" spans="1:10" x14ac:dyDescent="0.25">
      <c r="A653" t="s">
        <v>275</v>
      </c>
      <c r="B653" t="s">
        <v>88</v>
      </c>
      <c r="C653" s="1">
        <v>46113</v>
      </c>
      <c r="D653" t="s">
        <v>1875</v>
      </c>
      <c r="E653" t="s">
        <v>90</v>
      </c>
      <c r="F653" t="s">
        <v>91</v>
      </c>
      <c r="G653" s="14">
        <v>1066098.43</v>
      </c>
      <c r="H653">
        <v>1415</v>
      </c>
      <c r="I653">
        <v>753.43</v>
      </c>
      <c r="J653">
        <v>1289979.1000000001</v>
      </c>
    </row>
    <row r="654" spans="1:10" x14ac:dyDescent="0.25">
      <c r="A654" t="s">
        <v>275</v>
      </c>
      <c r="B654" t="s">
        <v>88</v>
      </c>
      <c r="C654" s="1">
        <v>46113</v>
      </c>
      <c r="D654" t="s">
        <v>1875</v>
      </c>
      <c r="E654" t="s">
        <v>92</v>
      </c>
      <c r="F654" t="s">
        <v>91</v>
      </c>
      <c r="G654" s="14">
        <v>170548.2</v>
      </c>
      <c r="H654">
        <v>1415</v>
      </c>
      <c r="I654">
        <v>120.53</v>
      </c>
      <c r="J654">
        <v>170548.2</v>
      </c>
    </row>
    <row r="655" spans="1:10" x14ac:dyDescent="0.25">
      <c r="A655" t="s">
        <v>287</v>
      </c>
      <c r="B655" t="s">
        <v>88</v>
      </c>
      <c r="C655" s="1">
        <v>46113</v>
      </c>
      <c r="D655" t="s">
        <v>1881</v>
      </c>
      <c r="E655" t="s">
        <v>136</v>
      </c>
      <c r="F655" t="s">
        <v>31</v>
      </c>
      <c r="G655" s="14">
        <v>640156.22</v>
      </c>
      <c r="H655">
        <v>1415</v>
      </c>
      <c r="I655">
        <v>452.41</v>
      </c>
      <c r="J655">
        <v>774589.03</v>
      </c>
    </row>
    <row r="656" spans="1:10" x14ac:dyDescent="0.25">
      <c r="A656" t="s">
        <v>287</v>
      </c>
      <c r="B656" t="s">
        <v>88</v>
      </c>
      <c r="C656" s="1">
        <v>46113</v>
      </c>
      <c r="D656" t="s">
        <v>1881</v>
      </c>
      <c r="E656" t="s">
        <v>329</v>
      </c>
      <c r="F656" t="s">
        <v>31</v>
      </c>
      <c r="G656" s="14">
        <v>-640156.22</v>
      </c>
      <c r="H656">
        <v>1415</v>
      </c>
      <c r="I656">
        <v>-452.41</v>
      </c>
      <c r="J656">
        <v>-640156.22</v>
      </c>
    </row>
    <row r="657" spans="1:10" x14ac:dyDescent="0.25">
      <c r="A657" t="s">
        <v>287</v>
      </c>
      <c r="B657" t="s">
        <v>88</v>
      </c>
      <c r="C657" s="1">
        <v>46113</v>
      </c>
      <c r="D657" t="s">
        <v>1881</v>
      </c>
      <c r="E657" t="s">
        <v>184</v>
      </c>
      <c r="F657" t="s">
        <v>31</v>
      </c>
      <c r="G657" s="14">
        <v>146395.26</v>
      </c>
      <c r="H657">
        <v>1415</v>
      </c>
      <c r="I657">
        <v>103.46</v>
      </c>
      <c r="J657">
        <v>177152.91</v>
      </c>
    </row>
    <row r="658" spans="1:10" x14ac:dyDescent="0.25">
      <c r="A658" t="s">
        <v>695</v>
      </c>
      <c r="B658" t="s">
        <v>88</v>
      </c>
      <c r="C658" s="1">
        <v>46113</v>
      </c>
      <c r="D658" t="s">
        <v>1888</v>
      </c>
      <c r="E658" t="s">
        <v>329</v>
      </c>
      <c r="F658" t="s">
        <v>31</v>
      </c>
      <c r="G658" s="14">
        <v>487984.2</v>
      </c>
      <c r="H658">
        <v>1415</v>
      </c>
      <c r="I658">
        <v>344.87</v>
      </c>
      <c r="J658">
        <v>487984.2</v>
      </c>
    </row>
    <row r="659" spans="1:10" x14ac:dyDescent="0.25">
      <c r="A659" t="s">
        <v>1706</v>
      </c>
      <c r="B659" t="s">
        <v>88</v>
      </c>
      <c r="C659" s="1">
        <v>46113</v>
      </c>
      <c r="D659" t="s">
        <v>1969</v>
      </c>
      <c r="E659" t="s">
        <v>1708</v>
      </c>
      <c r="F659" t="s">
        <v>109</v>
      </c>
      <c r="G659" s="14">
        <v>239092.78</v>
      </c>
      <c r="H659">
        <v>1415</v>
      </c>
      <c r="I659">
        <v>168.97</v>
      </c>
      <c r="J659">
        <v>289302.26</v>
      </c>
    </row>
    <row r="660" spans="1:10" x14ac:dyDescent="0.25">
      <c r="A660" t="s">
        <v>478</v>
      </c>
      <c r="B660" t="s">
        <v>88</v>
      </c>
      <c r="C660" s="1">
        <v>46113</v>
      </c>
      <c r="D660" t="s">
        <v>1980</v>
      </c>
      <c r="E660" t="s">
        <v>267</v>
      </c>
      <c r="F660" t="s">
        <v>109</v>
      </c>
      <c r="G660" s="14">
        <v>19876.03</v>
      </c>
      <c r="H660">
        <v>1415</v>
      </c>
      <c r="I660">
        <v>14.05</v>
      </c>
      <c r="J660">
        <v>24050</v>
      </c>
    </row>
    <row r="661" spans="1:10" x14ac:dyDescent="0.25">
      <c r="A661" t="s">
        <v>2059</v>
      </c>
      <c r="B661" t="s">
        <v>88</v>
      </c>
      <c r="C661" s="1">
        <v>46113</v>
      </c>
      <c r="D661" t="s">
        <v>2060</v>
      </c>
      <c r="E661" t="s">
        <v>2061</v>
      </c>
      <c r="F661" t="s">
        <v>2062</v>
      </c>
      <c r="G661" s="14">
        <v>714932.13</v>
      </c>
      <c r="H661">
        <v>1415</v>
      </c>
      <c r="I661">
        <v>505.25</v>
      </c>
      <c r="J661">
        <v>790000</v>
      </c>
    </row>
    <row r="662" spans="1:10" x14ac:dyDescent="0.25">
      <c r="A662" t="s">
        <v>125</v>
      </c>
      <c r="B662" t="s">
        <v>88</v>
      </c>
      <c r="C662" s="1">
        <v>46112</v>
      </c>
      <c r="D662" t="s">
        <v>1825</v>
      </c>
      <c r="E662" t="s">
        <v>114</v>
      </c>
      <c r="F662" t="s">
        <v>117</v>
      </c>
      <c r="G662" s="14">
        <v>4306.58</v>
      </c>
      <c r="H662">
        <v>1405</v>
      </c>
      <c r="I662">
        <v>3.07</v>
      </c>
      <c r="J662">
        <v>5210.96</v>
      </c>
    </row>
    <row r="663" spans="1:10" x14ac:dyDescent="0.25">
      <c r="A663" t="s">
        <v>125</v>
      </c>
      <c r="B663" t="s">
        <v>88</v>
      </c>
      <c r="C663" s="1">
        <v>46112</v>
      </c>
      <c r="D663" t="s">
        <v>1825</v>
      </c>
      <c r="E663" t="s">
        <v>127</v>
      </c>
      <c r="F663" t="s">
        <v>117</v>
      </c>
      <c r="G663" s="14">
        <v>430.69</v>
      </c>
      <c r="H663">
        <v>1405</v>
      </c>
      <c r="I663">
        <v>0.31</v>
      </c>
      <c r="J663">
        <v>430.69</v>
      </c>
    </row>
    <row r="664" spans="1:10" x14ac:dyDescent="0.25">
      <c r="A664" t="s">
        <v>349</v>
      </c>
      <c r="B664" t="s">
        <v>88</v>
      </c>
      <c r="C664" s="1">
        <v>46112</v>
      </c>
      <c r="D664" t="s">
        <v>1904</v>
      </c>
      <c r="E664" t="s">
        <v>102</v>
      </c>
      <c r="F664" t="s">
        <v>109</v>
      </c>
      <c r="G664" s="14">
        <v>224629.84</v>
      </c>
      <c r="H664">
        <v>1405</v>
      </c>
      <c r="I664">
        <v>159.88</v>
      </c>
      <c r="J664">
        <v>224629.84</v>
      </c>
    </row>
    <row r="665" spans="1:10" x14ac:dyDescent="0.25">
      <c r="A665" t="s">
        <v>1905</v>
      </c>
      <c r="B665" t="s">
        <v>88</v>
      </c>
      <c r="C665" s="1">
        <v>46112</v>
      </c>
      <c r="D665" t="s">
        <v>1906</v>
      </c>
      <c r="E665" t="s">
        <v>136</v>
      </c>
      <c r="F665" t="s">
        <v>6</v>
      </c>
      <c r="G665" s="14">
        <v>109906.04</v>
      </c>
      <c r="H665">
        <v>1405</v>
      </c>
      <c r="I665">
        <v>78.22</v>
      </c>
      <c r="J665">
        <v>132986.31</v>
      </c>
    </row>
    <row r="666" spans="1:10" x14ac:dyDescent="0.25">
      <c r="A666" t="s">
        <v>400</v>
      </c>
      <c r="B666" t="s">
        <v>88</v>
      </c>
      <c r="C666" s="1">
        <v>46112</v>
      </c>
      <c r="D666" t="s">
        <v>1936</v>
      </c>
      <c r="E666" t="s">
        <v>184</v>
      </c>
      <c r="F666" t="s">
        <v>135</v>
      </c>
      <c r="G666" s="14">
        <v>7148.6</v>
      </c>
      <c r="H666">
        <v>1405</v>
      </c>
      <c r="I666">
        <v>5.09</v>
      </c>
      <c r="J666">
        <v>8649.81</v>
      </c>
    </row>
    <row r="667" spans="1:10" x14ac:dyDescent="0.25">
      <c r="A667" t="s">
        <v>400</v>
      </c>
      <c r="B667" t="s">
        <v>88</v>
      </c>
      <c r="C667" s="1">
        <v>46112</v>
      </c>
      <c r="D667" t="s">
        <v>1936</v>
      </c>
      <c r="E667" t="s">
        <v>184</v>
      </c>
      <c r="F667" t="s">
        <v>31</v>
      </c>
      <c r="G667" s="14">
        <v>231138.07</v>
      </c>
      <c r="H667">
        <v>1405</v>
      </c>
      <c r="I667">
        <v>164.51</v>
      </c>
      <c r="J667">
        <v>279677.06</v>
      </c>
    </row>
    <row r="668" spans="1:10" x14ac:dyDescent="0.25">
      <c r="A668" t="s">
        <v>436</v>
      </c>
      <c r="B668" t="s">
        <v>88</v>
      </c>
      <c r="C668" s="1">
        <v>46112</v>
      </c>
      <c r="D668" t="s">
        <v>1963</v>
      </c>
      <c r="E668" t="s">
        <v>205</v>
      </c>
      <c r="F668" t="s">
        <v>206</v>
      </c>
      <c r="G668" s="14">
        <v>119919.8</v>
      </c>
      <c r="H668">
        <v>1405</v>
      </c>
      <c r="I668">
        <v>85.35</v>
      </c>
      <c r="J668">
        <v>145102.96</v>
      </c>
    </row>
    <row r="669" spans="1:10" x14ac:dyDescent="0.25">
      <c r="A669" t="s">
        <v>497</v>
      </c>
      <c r="B669" t="s">
        <v>88</v>
      </c>
      <c r="C669" s="1">
        <v>46112</v>
      </c>
      <c r="D669" t="s">
        <v>2005</v>
      </c>
      <c r="E669" t="s">
        <v>136</v>
      </c>
      <c r="F669" t="s">
        <v>31</v>
      </c>
      <c r="G669" s="14">
        <v>25197.48</v>
      </c>
      <c r="H669">
        <v>1405</v>
      </c>
      <c r="I669">
        <v>17.93</v>
      </c>
      <c r="J669">
        <v>30488.95</v>
      </c>
    </row>
    <row r="670" spans="1:10" x14ac:dyDescent="0.25">
      <c r="A670" t="s">
        <v>521</v>
      </c>
      <c r="B670" t="s">
        <v>88</v>
      </c>
      <c r="C670" s="1">
        <v>46112</v>
      </c>
      <c r="D670" t="s">
        <v>2034</v>
      </c>
      <c r="E670" t="s">
        <v>136</v>
      </c>
      <c r="F670" t="s">
        <v>135</v>
      </c>
      <c r="G670" s="14">
        <v>53500</v>
      </c>
      <c r="H670">
        <v>1405</v>
      </c>
      <c r="I670">
        <v>38.08</v>
      </c>
      <c r="J670">
        <v>64735</v>
      </c>
    </row>
    <row r="671" spans="1:10" x14ac:dyDescent="0.25">
      <c r="A671" t="s">
        <v>527</v>
      </c>
      <c r="B671" t="s">
        <v>88</v>
      </c>
      <c r="C671" s="1">
        <v>46112</v>
      </c>
      <c r="D671" t="s">
        <v>2040</v>
      </c>
      <c r="E671" t="s">
        <v>184</v>
      </c>
      <c r="F671" t="s">
        <v>31</v>
      </c>
      <c r="G671" s="14">
        <v>464121.9</v>
      </c>
      <c r="H671">
        <v>1405</v>
      </c>
      <c r="I671">
        <v>330.34</v>
      </c>
      <c r="J671">
        <v>561582.44999999995</v>
      </c>
    </row>
    <row r="672" spans="1:10" x14ac:dyDescent="0.25">
      <c r="A672" t="s">
        <v>527</v>
      </c>
      <c r="B672" t="s">
        <v>88</v>
      </c>
      <c r="C672" s="1">
        <v>46112</v>
      </c>
      <c r="D672" t="s">
        <v>2040</v>
      </c>
      <c r="E672" t="s">
        <v>786</v>
      </c>
      <c r="F672" t="s">
        <v>31</v>
      </c>
      <c r="G672" s="14">
        <v>1640969.55</v>
      </c>
      <c r="H672">
        <v>1405</v>
      </c>
      <c r="I672">
        <v>1167.95</v>
      </c>
      <c r="J672">
        <v>1640969.55</v>
      </c>
    </row>
    <row r="673" spans="1:10" x14ac:dyDescent="0.25">
      <c r="A673" t="s">
        <v>935</v>
      </c>
      <c r="B673" t="s">
        <v>88</v>
      </c>
      <c r="C673" s="1">
        <v>46111</v>
      </c>
      <c r="D673" t="s">
        <v>1811</v>
      </c>
      <c r="E673" t="s">
        <v>134</v>
      </c>
      <c r="F673" t="s">
        <v>31</v>
      </c>
      <c r="G673" s="14">
        <v>137282.25</v>
      </c>
      <c r="H673">
        <v>1420</v>
      </c>
      <c r="I673">
        <v>96.68</v>
      </c>
      <c r="J673">
        <v>151696.89000000001</v>
      </c>
    </row>
    <row r="674" spans="1:10" x14ac:dyDescent="0.25">
      <c r="A674" t="s">
        <v>935</v>
      </c>
      <c r="B674" t="s">
        <v>88</v>
      </c>
      <c r="C674" s="1">
        <v>46111</v>
      </c>
      <c r="D674" t="s">
        <v>1811</v>
      </c>
      <c r="E674" t="s">
        <v>136</v>
      </c>
      <c r="F674" t="s">
        <v>31</v>
      </c>
      <c r="G674" s="14">
        <v>352668.28</v>
      </c>
      <c r="H674">
        <v>1420</v>
      </c>
      <c r="I674">
        <v>248.36</v>
      </c>
      <c r="J674">
        <v>426727.28</v>
      </c>
    </row>
    <row r="675" spans="1:10" x14ac:dyDescent="0.25">
      <c r="A675" t="s">
        <v>161</v>
      </c>
      <c r="B675" t="s">
        <v>88</v>
      </c>
      <c r="C675" s="1">
        <v>46111</v>
      </c>
      <c r="D675" t="s">
        <v>1839</v>
      </c>
      <c r="E675" t="s">
        <v>136</v>
      </c>
      <c r="F675" t="s">
        <v>135</v>
      </c>
      <c r="G675" s="14">
        <v>170005</v>
      </c>
      <c r="H675">
        <v>1420</v>
      </c>
      <c r="I675">
        <v>119.72</v>
      </c>
      <c r="J675">
        <v>205706.05</v>
      </c>
    </row>
    <row r="676" spans="1:10" x14ac:dyDescent="0.25">
      <c r="A676" t="s">
        <v>246</v>
      </c>
      <c r="B676" t="s">
        <v>88</v>
      </c>
      <c r="C676" s="1">
        <v>46111</v>
      </c>
      <c r="D676" t="s">
        <v>1866</v>
      </c>
      <c r="E676" t="s">
        <v>114</v>
      </c>
      <c r="F676" t="s">
        <v>117</v>
      </c>
      <c r="G676" s="14">
        <v>13388.43</v>
      </c>
      <c r="H676">
        <v>1420</v>
      </c>
      <c r="I676">
        <v>9.43</v>
      </c>
      <c r="J676">
        <v>16200</v>
      </c>
    </row>
    <row r="677" spans="1:10" x14ac:dyDescent="0.25">
      <c r="A677" t="s">
        <v>756</v>
      </c>
      <c r="B677" t="s">
        <v>88</v>
      </c>
      <c r="C677" s="1">
        <v>46111</v>
      </c>
      <c r="D677" t="s">
        <v>1918</v>
      </c>
      <c r="E677" t="s">
        <v>329</v>
      </c>
      <c r="F677" t="s">
        <v>31</v>
      </c>
      <c r="G677" s="14">
        <v>634035.81000000006</v>
      </c>
      <c r="H677">
        <v>1420</v>
      </c>
      <c r="I677">
        <v>446.5</v>
      </c>
      <c r="J677">
        <v>634035.81000000006</v>
      </c>
    </row>
    <row r="678" spans="1:10" x14ac:dyDescent="0.25">
      <c r="A678" t="s">
        <v>416</v>
      </c>
      <c r="B678" t="s">
        <v>88</v>
      </c>
      <c r="C678" s="1">
        <v>46111</v>
      </c>
      <c r="D678" t="s">
        <v>1946</v>
      </c>
      <c r="E678" t="s">
        <v>205</v>
      </c>
      <c r="F678" t="s">
        <v>109</v>
      </c>
      <c r="G678" s="14">
        <v>18755.37</v>
      </c>
      <c r="H678">
        <v>1420</v>
      </c>
      <c r="I678">
        <v>13.21</v>
      </c>
      <c r="J678">
        <v>22694</v>
      </c>
    </row>
    <row r="679" spans="1:10" x14ac:dyDescent="0.25">
      <c r="A679" t="s">
        <v>416</v>
      </c>
      <c r="B679" t="s">
        <v>88</v>
      </c>
      <c r="C679" s="1">
        <v>46111</v>
      </c>
      <c r="D679" t="s">
        <v>1946</v>
      </c>
      <c r="E679" t="s">
        <v>102</v>
      </c>
      <c r="F679" t="s">
        <v>109</v>
      </c>
      <c r="G679" s="14">
        <v>2806</v>
      </c>
      <c r="H679">
        <v>1420</v>
      </c>
      <c r="I679">
        <v>1.98</v>
      </c>
      <c r="J679">
        <v>2806</v>
      </c>
    </row>
    <row r="680" spans="1:10" x14ac:dyDescent="0.25">
      <c r="A680" t="s">
        <v>2000</v>
      </c>
      <c r="B680" t="s">
        <v>88</v>
      </c>
      <c r="C680" s="1">
        <v>46111</v>
      </c>
      <c r="D680" t="s">
        <v>2001</v>
      </c>
      <c r="E680" t="s">
        <v>329</v>
      </c>
      <c r="F680" t="s">
        <v>135</v>
      </c>
      <c r="G680" s="14">
        <v>86000</v>
      </c>
      <c r="H680">
        <v>1420</v>
      </c>
      <c r="I680">
        <v>60.56</v>
      </c>
      <c r="J680">
        <v>86000</v>
      </c>
    </row>
    <row r="681" spans="1:10" x14ac:dyDescent="0.25">
      <c r="A681" t="s">
        <v>1788</v>
      </c>
      <c r="B681" t="s">
        <v>88</v>
      </c>
      <c r="C681" s="1">
        <v>46111</v>
      </c>
      <c r="D681" t="s">
        <v>2058</v>
      </c>
      <c r="E681" t="s">
        <v>136</v>
      </c>
      <c r="F681" t="s">
        <v>6</v>
      </c>
      <c r="G681" s="14">
        <v>85537.2</v>
      </c>
      <c r="H681">
        <v>1420</v>
      </c>
      <c r="I681">
        <v>60.24</v>
      </c>
      <c r="J681">
        <v>103500</v>
      </c>
    </row>
    <row r="682" spans="1:10" x14ac:dyDescent="0.25">
      <c r="A682" t="s">
        <v>246</v>
      </c>
      <c r="B682" t="s">
        <v>88</v>
      </c>
      <c r="C682" s="1">
        <v>46110</v>
      </c>
      <c r="D682" t="s">
        <v>1863</v>
      </c>
      <c r="E682" t="s">
        <v>114</v>
      </c>
      <c r="F682" t="s">
        <v>117</v>
      </c>
      <c r="G682" s="14">
        <v>17355.38</v>
      </c>
      <c r="H682">
        <v>1405</v>
      </c>
      <c r="I682">
        <v>12.35</v>
      </c>
      <c r="J682">
        <v>21000</v>
      </c>
    </row>
    <row r="683" spans="1:10" x14ac:dyDescent="0.25">
      <c r="A683" t="s">
        <v>246</v>
      </c>
      <c r="B683" t="s">
        <v>88</v>
      </c>
      <c r="C683" s="1">
        <v>46110</v>
      </c>
      <c r="D683" t="s">
        <v>1864</v>
      </c>
      <c r="E683" t="s">
        <v>114</v>
      </c>
      <c r="F683" t="s">
        <v>117</v>
      </c>
      <c r="G683" s="14">
        <v>2479.34</v>
      </c>
      <c r="H683">
        <v>1405</v>
      </c>
      <c r="I683">
        <v>1.76</v>
      </c>
      <c r="J683">
        <v>3000</v>
      </c>
    </row>
    <row r="684" spans="1:10" x14ac:dyDescent="0.25">
      <c r="A684" t="s">
        <v>515</v>
      </c>
      <c r="B684" t="s">
        <v>88</v>
      </c>
      <c r="C684" s="1">
        <v>46109</v>
      </c>
      <c r="D684" t="s">
        <v>2031</v>
      </c>
      <c r="E684" t="s">
        <v>184</v>
      </c>
      <c r="F684" t="s">
        <v>31</v>
      </c>
      <c r="G684" s="14">
        <v>16000</v>
      </c>
      <c r="H684">
        <v>1405</v>
      </c>
      <c r="I684">
        <v>11.39</v>
      </c>
      <c r="J684">
        <v>19360</v>
      </c>
    </row>
    <row r="685" spans="1:10" x14ac:dyDescent="0.25">
      <c r="A685" t="s">
        <v>1645</v>
      </c>
      <c r="B685" t="s">
        <v>96</v>
      </c>
      <c r="C685" s="1">
        <v>46108</v>
      </c>
      <c r="D685" t="s">
        <v>1930</v>
      </c>
      <c r="E685" t="s">
        <v>1647</v>
      </c>
      <c r="F685" t="s">
        <v>85</v>
      </c>
      <c r="G685" s="14">
        <v>87818.4</v>
      </c>
      <c r="H685">
        <v>1405</v>
      </c>
      <c r="I685">
        <v>62.5</v>
      </c>
      <c r="J685">
        <v>87818.4</v>
      </c>
    </row>
    <row r="686" spans="1:10" x14ac:dyDescent="0.25">
      <c r="A686" t="s">
        <v>1939</v>
      </c>
      <c r="B686" t="s">
        <v>88</v>
      </c>
      <c r="C686" s="1">
        <v>46108</v>
      </c>
      <c r="D686" t="s">
        <v>1940</v>
      </c>
      <c r="E686" t="s">
        <v>90</v>
      </c>
      <c r="F686" t="s">
        <v>91</v>
      </c>
      <c r="G686" s="14">
        <v>67557.789999999994</v>
      </c>
      <c r="H686">
        <v>1405</v>
      </c>
      <c r="I686">
        <v>48.08</v>
      </c>
      <c r="J686">
        <v>81744.94</v>
      </c>
    </row>
    <row r="687" spans="1:10" x14ac:dyDescent="0.25">
      <c r="A687" t="s">
        <v>1939</v>
      </c>
      <c r="B687" t="s">
        <v>88</v>
      </c>
      <c r="C687" s="1">
        <v>46108</v>
      </c>
      <c r="D687" t="s">
        <v>1940</v>
      </c>
      <c r="E687" t="s">
        <v>92</v>
      </c>
      <c r="F687" t="s">
        <v>91</v>
      </c>
      <c r="G687" s="14">
        <v>9995.15</v>
      </c>
      <c r="H687">
        <v>1405</v>
      </c>
      <c r="I687">
        <v>7.11</v>
      </c>
      <c r="J687">
        <v>9995.15</v>
      </c>
    </row>
    <row r="688" spans="1:10" x14ac:dyDescent="0.25">
      <c r="A688" t="s">
        <v>1939</v>
      </c>
      <c r="B688" t="s">
        <v>88</v>
      </c>
      <c r="C688" s="1">
        <v>46108</v>
      </c>
      <c r="D688" t="s">
        <v>1941</v>
      </c>
      <c r="E688" t="s">
        <v>90</v>
      </c>
      <c r="F688" t="s">
        <v>91</v>
      </c>
      <c r="G688" s="14">
        <v>16528.93</v>
      </c>
      <c r="H688">
        <v>1405</v>
      </c>
      <c r="I688">
        <v>11.76</v>
      </c>
      <c r="J688">
        <v>20000</v>
      </c>
    </row>
    <row r="689" spans="1:10" x14ac:dyDescent="0.25">
      <c r="A689" t="s">
        <v>426</v>
      </c>
      <c r="B689" t="s">
        <v>279</v>
      </c>
      <c r="C689" s="1">
        <v>46108</v>
      </c>
      <c r="D689" t="s">
        <v>1960</v>
      </c>
      <c r="E689" t="s">
        <v>136</v>
      </c>
      <c r="F689" t="s">
        <v>31</v>
      </c>
      <c r="G689" s="14">
        <v>-35312.080000000002</v>
      </c>
      <c r="H689">
        <v>1405</v>
      </c>
      <c r="I689">
        <v>-25.13</v>
      </c>
      <c r="J689">
        <v>-42727.62</v>
      </c>
    </row>
    <row r="690" spans="1:10" x14ac:dyDescent="0.25">
      <c r="A690" t="s">
        <v>426</v>
      </c>
      <c r="B690" t="s">
        <v>279</v>
      </c>
      <c r="C690" s="1">
        <v>46108</v>
      </c>
      <c r="D690" t="s">
        <v>1961</v>
      </c>
      <c r="E690" t="s">
        <v>136</v>
      </c>
      <c r="F690" t="s">
        <v>31</v>
      </c>
      <c r="G690" s="14">
        <v>-105936.26</v>
      </c>
      <c r="H690">
        <v>1405</v>
      </c>
      <c r="I690">
        <v>-75.400000000000006</v>
      </c>
      <c r="J690">
        <v>-128182.87</v>
      </c>
    </row>
    <row r="691" spans="1:10" x14ac:dyDescent="0.25">
      <c r="A691" t="s">
        <v>1852</v>
      </c>
      <c r="B691" t="s">
        <v>88</v>
      </c>
      <c r="C691" s="1">
        <v>46107</v>
      </c>
      <c r="D691" t="s">
        <v>1853</v>
      </c>
      <c r="E691" t="s">
        <v>90</v>
      </c>
      <c r="F691" t="s">
        <v>91</v>
      </c>
      <c r="G691" s="14">
        <v>127858.78</v>
      </c>
      <c r="H691">
        <v>1390</v>
      </c>
      <c r="I691">
        <v>91.98</v>
      </c>
      <c r="J691">
        <v>154709.13</v>
      </c>
    </row>
    <row r="692" spans="1:10" x14ac:dyDescent="0.25">
      <c r="A692" t="s">
        <v>1852</v>
      </c>
      <c r="B692" t="s">
        <v>88</v>
      </c>
      <c r="C692" s="1">
        <v>46107</v>
      </c>
      <c r="D692" t="s">
        <v>1853</v>
      </c>
      <c r="E692" t="s">
        <v>92</v>
      </c>
      <c r="F692" t="s">
        <v>91</v>
      </c>
      <c r="G692" s="14">
        <v>19291.02</v>
      </c>
      <c r="H692">
        <v>1390</v>
      </c>
      <c r="I692">
        <v>13.88</v>
      </c>
      <c r="J692">
        <v>19291.02</v>
      </c>
    </row>
    <row r="693" spans="1:10" x14ac:dyDescent="0.25">
      <c r="A693" t="s">
        <v>1215</v>
      </c>
      <c r="B693" t="s">
        <v>96</v>
      </c>
      <c r="C693" s="1">
        <v>46107</v>
      </c>
      <c r="D693" t="s">
        <v>1931</v>
      </c>
      <c r="E693" t="s">
        <v>102</v>
      </c>
      <c r="F693" t="s">
        <v>109</v>
      </c>
      <c r="G693" s="14">
        <v>106646.05</v>
      </c>
      <c r="H693">
        <v>1390</v>
      </c>
      <c r="I693">
        <v>76.72</v>
      </c>
      <c r="J693">
        <v>106646.05</v>
      </c>
    </row>
    <row r="694" spans="1:10" x14ac:dyDescent="0.25">
      <c r="A694" t="s">
        <v>1362</v>
      </c>
      <c r="B694" t="s">
        <v>88</v>
      </c>
      <c r="C694" s="1">
        <v>46107</v>
      </c>
      <c r="D694" t="s">
        <v>1987</v>
      </c>
      <c r="E694" t="s">
        <v>136</v>
      </c>
      <c r="F694" t="s">
        <v>31</v>
      </c>
      <c r="G694" s="14">
        <v>603960</v>
      </c>
      <c r="H694">
        <v>1390</v>
      </c>
      <c r="I694">
        <v>434.5</v>
      </c>
      <c r="J694">
        <v>730791.6</v>
      </c>
    </row>
    <row r="695" spans="1:10" x14ac:dyDescent="0.25">
      <c r="A695" t="s">
        <v>1730</v>
      </c>
      <c r="B695" t="s">
        <v>88</v>
      </c>
      <c r="C695" s="1">
        <v>46107</v>
      </c>
      <c r="D695" t="s">
        <v>1991</v>
      </c>
      <c r="E695" t="s">
        <v>329</v>
      </c>
      <c r="F695" t="s">
        <v>64</v>
      </c>
      <c r="G695" s="14">
        <v>36424665.600000001</v>
      </c>
      <c r="H695">
        <v>1390</v>
      </c>
      <c r="I695">
        <v>26204.799999999999</v>
      </c>
      <c r="J695">
        <v>36424665.600000001</v>
      </c>
    </row>
    <row r="696" spans="1:10" x14ac:dyDescent="0.25">
      <c r="A696" t="s">
        <v>1730</v>
      </c>
      <c r="B696" t="s">
        <v>88</v>
      </c>
      <c r="C696" s="1">
        <v>46107</v>
      </c>
      <c r="D696" t="s">
        <v>1992</v>
      </c>
      <c r="E696" t="s">
        <v>329</v>
      </c>
      <c r="F696" t="s">
        <v>64</v>
      </c>
      <c r="G696" s="14">
        <v>262337.2</v>
      </c>
      <c r="H696">
        <v>1390</v>
      </c>
      <c r="I696">
        <v>188.73</v>
      </c>
      <c r="J696">
        <v>262337.2</v>
      </c>
    </row>
    <row r="697" spans="1:10" x14ac:dyDescent="0.25">
      <c r="A697" t="s">
        <v>510</v>
      </c>
      <c r="B697" t="s">
        <v>96</v>
      </c>
      <c r="C697" s="1">
        <v>46107</v>
      </c>
      <c r="D697" t="s">
        <v>2017</v>
      </c>
      <c r="E697" t="s">
        <v>127</v>
      </c>
      <c r="F697" t="s">
        <v>117</v>
      </c>
      <c r="G697" s="14">
        <v>271.12</v>
      </c>
      <c r="H697">
        <v>1390</v>
      </c>
      <c r="I697">
        <v>0.2</v>
      </c>
      <c r="J697">
        <v>271.12</v>
      </c>
    </row>
    <row r="698" spans="1:10" x14ac:dyDescent="0.25">
      <c r="A698" t="s">
        <v>510</v>
      </c>
      <c r="B698" t="s">
        <v>96</v>
      </c>
      <c r="C698" s="1">
        <v>46107</v>
      </c>
      <c r="D698" t="s">
        <v>2018</v>
      </c>
      <c r="E698" t="s">
        <v>127</v>
      </c>
      <c r="F698" t="s">
        <v>117</v>
      </c>
      <c r="G698" s="14">
        <v>212.28</v>
      </c>
      <c r="H698">
        <v>1390</v>
      </c>
      <c r="I698">
        <v>0.15</v>
      </c>
      <c r="J698">
        <v>212.28</v>
      </c>
    </row>
    <row r="699" spans="1:10" x14ac:dyDescent="0.25">
      <c r="A699" t="s">
        <v>515</v>
      </c>
      <c r="B699" t="s">
        <v>88</v>
      </c>
      <c r="C699" s="1">
        <v>46107</v>
      </c>
      <c r="D699" t="s">
        <v>2030</v>
      </c>
      <c r="E699" t="s">
        <v>184</v>
      </c>
      <c r="F699" t="s">
        <v>31</v>
      </c>
      <c r="G699" s="14">
        <v>22195</v>
      </c>
      <c r="H699">
        <v>1390</v>
      </c>
      <c r="I699">
        <v>15.97</v>
      </c>
      <c r="J699">
        <v>26855.95</v>
      </c>
    </row>
    <row r="700" spans="1:10" x14ac:dyDescent="0.25">
      <c r="A700" t="s">
        <v>2068</v>
      </c>
      <c r="B700" t="s">
        <v>88</v>
      </c>
      <c r="C700" s="1">
        <v>46107</v>
      </c>
      <c r="D700" t="s">
        <v>2069</v>
      </c>
      <c r="E700" t="s">
        <v>90</v>
      </c>
      <c r="F700" t="s">
        <v>91</v>
      </c>
      <c r="G700" s="14">
        <v>117479.37</v>
      </c>
      <c r="H700">
        <v>1390</v>
      </c>
      <c r="I700">
        <v>84.52</v>
      </c>
      <c r="J700">
        <v>142150.04</v>
      </c>
    </row>
    <row r="701" spans="1:10" x14ac:dyDescent="0.25">
      <c r="A701" t="s">
        <v>2068</v>
      </c>
      <c r="B701" t="s">
        <v>88</v>
      </c>
      <c r="C701" s="1">
        <v>46107</v>
      </c>
      <c r="D701" t="s">
        <v>2069</v>
      </c>
      <c r="E701" t="s">
        <v>92</v>
      </c>
      <c r="F701" t="s">
        <v>91</v>
      </c>
      <c r="G701" s="14">
        <v>17854.07</v>
      </c>
      <c r="H701">
        <v>1390</v>
      </c>
      <c r="I701">
        <v>12.84</v>
      </c>
      <c r="J701">
        <v>17854.07</v>
      </c>
    </row>
    <row r="702" spans="1:10" x14ac:dyDescent="0.25">
      <c r="A702" t="s">
        <v>132</v>
      </c>
      <c r="B702" t="s">
        <v>88</v>
      </c>
      <c r="C702" s="1">
        <v>46106</v>
      </c>
      <c r="D702" t="s">
        <v>1836</v>
      </c>
      <c r="E702" t="s">
        <v>136</v>
      </c>
      <c r="F702" t="s">
        <v>135</v>
      </c>
      <c r="G702" s="14">
        <v>13334</v>
      </c>
      <c r="H702">
        <v>1400</v>
      </c>
      <c r="I702">
        <v>9.52</v>
      </c>
      <c r="J702">
        <v>16134.14</v>
      </c>
    </row>
    <row r="703" spans="1:10" x14ac:dyDescent="0.25">
      <c r="A703" t="s">
        <v>161</v>
      </c>
      <c r="B703" t="s">
        <v>88</v>
      </c>
      <c r="C703" s="1">
        <v>46106</v>
      </c>
      <c r="D703" t="s">
        <v>1838</v>
      </c>
      <c r="E703" t="s">
        <v>136</v>
      </c>
      <c r="F703" t="s">
        <v>17</v>
      </c>
      <c r="G703" s="14">
        <v>9179.1</v>
      </c>
      <c r="H703">
        <v>1400</v>
      </c>
      <c r="I703">
        <v>6.56</v>
      </c>
      <c r="J703">
        <v>11110.8</v>
      </c>
    </row>
    <row r="704" spans="1:10" x14ac:dyDescent="0.25">
      <c r="A704" t="s">
        <v>1645</v>
      </c>
      <c r="B704" t="s">
        <v>96</v>
      </c>
      <c r="C704" s="1">
        <v>46106</v>
      </c>
      <c r="D704" t="s">
        <v>1929</v>
      </c>
      <c r="E704" t="s">
        <v>1647</v>
      </c>
      <c r="F704" t="s">
        <v>85</v>
      </c>
      <c r="G704" s="14">
        <v>89199</v>
      </c>
      <c r="H704">
        <v>1400</v>
      </c>
      <c r="I704">
        <v>63.71</v>
      </c>
      <c r="J704">
        <v>89199</v>
      </c>
    </row>
    <row r="705" spans="1:10" x14ac:dyDescent="0.25">
      <c r="A705" t="s">
        <v>787</v>
      </c>
      <c r="B705" t="s">
        <v>88</v>
      </c>
      <c r="C705" s="1">
        <v>46106</v>
      </c>
      <c r="D705" t="s">
        <v>1945</v>
      </c>
      <c r="E705" t="s">
        <v>323</v>
      </c>
      <c r="F705" t="s">
        <v>109</v>
      </c>
      <c r="G705" s="14">
        <v>15000</v>
      </c>
      <c r="H705">
        <v>1400</v>
      </c>
      <c r="I705">
        <v>10.71</v>
      </c>
      <c r="J705">
        <v>15000</v>
      </c>
    </row>
    <row r="706" spans="1:10" x14ac:dyDescent="0.25">
      <c r="A706" t="s">
        <v>2048</v>
      </c>
      <c r="B706" t="s">
        <v>88</v>
      </c>
      <c r="C706" s="1">
        <v>46106</v>
      </c>
      <c r="D706" t="s">
        <v>2049</v>
      </c>
      <c r="E706" t="s">
        <v>184</v>
      </c>
      <c r="F706" t="s">
        <v>31</v>
      </c>
      <c r="G706" s="14">
        <v>76859.5</v>
      </c>
      <c r="H706">
        <v>1400</v>
      </c>
      <c r="I706">
        <v>54.9</v>
      </c>
      <c r="J706">
        <v>93000</v>
      </c>
    </row>
    <row r="707" spans="1:10" x14ac:dyDescent="0.25">
      <c r="A707" t="s">
        <v>756</v>
      </c>
      <c r="B707" t="s">
        <v>88</v>
      </c>
      <c r="C707" s="1">
        <v>46104</v>
      </c>
      <c r="D707" t="s">
        <v>1917</v>
      </c>
      <c r="E707" t="s">
        <v>329</v>
      </c>
      <c r="F707" t="s">
        <v>31</v>
      </c>
      <c r="G707" s="14">
        <v>22339017.280000001</v>
      </c>
      <c r="H707">
        <v>1410</v>
      </c>
      <c r="I707">
        <v>15843.27</v>
      </c>
      <c r="J707">
        <v>22339017.280000001</v>
      </c>
    </row>
    <row r="708" spans="1:10" x14ac:dyDescent="0.25">
      <c r="A708" t="s">
        <v>426</v>
      </c>
      <c r="B708" t="s">
        <v>88</v>
      </c>
      <c r="C708" s="1">
        <v>46104</v>
      </c>
      <c r="D708" t="s">
        <v>1956</v>
      </c>
      <c r="E708" t="s">
        <v>134</v>
      </c>
      <c r="F708" t="s">
        <v>31</v>
      </c>
      <c r="G708" s="14">
        <v>108594.8</v>
      </c>
      <c r="H708">
        <v>1410</v>
      </c>
      <c r="I708">
        <v>77.02</v>
      </c>
      <c r="J708">
        <v>119997.25</v>
      </c>
    </row>
    <row r="709" spans="1:10" x14ac:dyDescent="0.25">
      <c r="A709" t="s">
        <v>426</v>
      </c>
      <c r="B709" t="s">
        <v>88</v>
      </c>
      <c r="C709" s="1">
        <v>46104</v>
      </c>
      <c r="D709" t="s">
        <v>1956</v>
      </c>
      <c r="E709" t="s">
        <v>136</v>
      </c>
      <c r="F709" t="s">
        <v>31</v>
      </c>
      <c r="G709" s="14">
        <v>777029.26</v>
      </c>
      <c r="H709">
        <v>1410</v>
      </c>
      <c r="I709">
        <v>551.08000000000004</v>
      </c>
      <c r="J709">
        <v>940205.4</v>
      </c>
    </row>
    <row r="710" spans="1:10" x14ac:dyDescent="0.25">
      <c r="A710" t="s">
        <v>1134</v>
      </c>
      <c r="B710" t="s">
        <v>88</v>
      </c>
      <c r="C710" s="1">
        <v>46103</v>
      </c>
      <c r="D710" t="s">
        <v>1895</v>
      </c>
      <c r="E710" t="s">
        <v>90</v>
      </c>
      <c r="F710" t="s">
        <v>91</v>
      </c>
      <c r="G710" s="14">
        <v>51107.48</v>
      </c>
      <c r="H710">
        <v>1410</v>
      </c>
      <c r="I710">
        <v>36.25</v>
      </c>
      <c r="J710">
        <v>61840.05</v>
      </c>
    </row>
    <row r="711" spans="1:10" x14ac:dyDescent="0.25">
      <c r="A711" t="s">
        <v>1134</v>
      </c>
      <c r="B711" t="s">
        <v>88</v>
      </c>
      <c r="C711" s="1">
        <v>46103</v>
      </c>
      <c r="D711" t="s">
        <v>1895</v>
      </c>
      <c r="E711" t="s">
        <v>92</v>
      </c>
      <c r="F711" t="s">
        <v>91</v>
      </c>
      <c r="G711" s="14">
        <v>8159.95</v>
      </c>
      <c r="H711">
        <v>1410</v>
      </c>
      <c r="I711">
        <v>5.79</v>
      </c>
      <c r="J711">
        <v>8159.95</v>
      </c>
    </row>
    <row r="712" spans="1:10" x14ac:dyDescent="0.25">
      <c r="A712" t="s">
        <v>443</v>
      </c>
      <c r="B712" t="s">
        <v>88</v>
      </c>
      <c r="C712" s="1">
        <v>46103</v>
      </c>
      <c r="D712" t="s">
        <v>1967</v>
      </c>
      <c r="E712" t="s">
        <v>90</v>
      </c>
      <c r="F712" t="s">
        <v>91</v>
      </c>
      <c r="G712" s="14">
        <v>54683.87</v>
      </c>
      <c r="H712">
        <v>1410</v>
      </c>
      <c r="I712">
        <v>38.78</v>
      </c>
      <c r="J712">
        <v>66167.48</v>
      </c>
    </row>
    <row r="713" spans="1:10" x14ac:dyDescent="0.25">
      <c r="A713" t="s">
        <v>443</v>
      </c>
      <c r="B713" t="s">
        <v>88</v>
      </c>
      <c r="C713" s="1">
        <v>46103</v>
      </c>
      <c r="D713" t="s">
        <v>1967</v>
      </c>
      <c r="E713" t="s">
        <v>92</v>
      </c>
      <c r="F713" t="s">
        <v>91</v>
      </c>
      <c r="G713" s="14">
        <v>13842.5</v>
      </c>
      <c r="H713">
        <v>1410</v>
      </c>
      <c r="I713">
        <v>9.82</v>
      </c>
      <c r="J713">
        <v>13842.5</v>
      </c>
    </row>
    <row r="714" spans="1:10" x14ac:dyDescent="0.25">
      <c r="A714" t="s">
        <v>1525</v>
      </c>
      <c r="B714" t="s">
        <v>88</v>
      </c>
      <c r="C714" s="1">
        <v>46101</v>
      </c>
      <c r="D714" t="s">
        <v>1827</v>
      </c>
      <c r="E714" t="s">
        <v>136</v>
      </c>
      <c r="F714" t="s">
        <v>31</v>
      </c>
      <c r="G714" s="14">
        <v>50827740.030000001</v>
      </c>
      <c r="H714">
        <v>1410</v>
      </c>
      <c r="I714">
        <v>36048.04</v>
      </c>
      <c r="J714">
        <v>61501563.780000001</v>
      </c>
    </row>
    <row r="715" spans="1:10" x14ac:dyDescent="0.25">
      <c r="A715" t="s">
        <v>1525</v>
      </c>
      <c r="B715" t="s">
        <v>279</v>
      </c>
      <c r="C715" s="1">
        <v>46101</v>
      </c>
      <c r="D715" t="s">
        <v>1828</v>
      </c>
      <c r="E715" t="s">
        <v>136</v>
      </c>
      <c r="F715" t="s">
        <v>31</v>
      </c>
      <c r="G715" s="14">
        <v>-15483421.92</v>
      </c>
      <c r="H715">
        <v>1410</v>
      </c>
      <c r="I715">
        <v>-10981.15</v>
      </c>
      <c r="J715">
        <v>-18734940.239999998</v>
      </c>
    </row>
    <row r="716" spans="1:10" x14ac:dyDescent="0.25">
      <c r="A716" t="s">
        <v>1844</v>
      </c>
      <c r="B716" t="s">
        <v>88</v>
      </c>
      <c r="C716" s="1">
        <v>46101</v>
      </c>
      <c r="D716" t="s">
        <v>1845</v>
      </c>
      <c r="E716" t="s">
        <v>136</v>
      </c>
      <c r="F716" t="s">
        <v>135</v>
      </c>
      <c r="G716" s="14">
        <v>800956.91</v>
      </c>
      <c r="H716">
        <v>1410</v>
      </c>
      <c r="I716">
        <v>568.04999999999995</v>
      </c>
      <c r="J716">
        <v>969157.86</v>
      </c>
    </row>
    <row r="717" spans="1:10" x14ac:dyDescent="0.25">
      <c r="A717" t="s">
        <v>473</v>
      </c>
      <c r="B717" t="s">
        <v>279</v>
      </c>
      <c r="C717" s="1">
        <v>46101</v>
      </c>
      <c r="D717" t="s">
        <v>1979</v>
      </c>
      <c r="E717" t="s">
        <v>152</v>
      </c>
      <c r="F717" t="s">
        <v>475</v>
      </c>
      <c r="G717" s="14">
        <v>-99303</v>
      </c>
      <c r="H717">
        <v>1410</v>
      </c>
      <c r="I717">
        <v>-70.430000000000007</v>
      </c>
      <c r="J717">
        <v>-120156.63</v>
      </c>
    </row>
    <row r="718" spans="1:10" x14ac:dyDescent="0.25">
      <c r="A718" t="s">
        <v>473</v>
      </c>
      <c r="B718" t="s">
        <v>279</v>
      </c>
      <c r="C718" s="1">
        <v>46101</v>
      </c>
      <c r="D718" t="s">
        <v>1979</v>
      </c>
      <c r="E718" t="s">
        <v>153</v>
      </c>
      <c r="F718" t="s">
        <v>475</v>
      </c>
      <c r="G718" s="14">
        <v>-2184.65</v>
      </c>
      <c r="H718">
        <v>1410</v>
      </c>
      <c r="I718">
        <v>-1.55</v>
      </c>
      <c r="J718">
        <v>-2184.65</v>
      </c>
    </row>
    <row r="719" spans="1:10" x14ac:dyDescent="0.25">
      <c r="A719" t="s">
        <v>515</v>
      </c>
      <c r="B719" t="s">
        <v>88</v>
      </c>
      <c r="C719" s="1">
        <v>46101</v>
      </c>
      <c r="D719" t="s">
        <v>2029</v>
      </c>
      <c r="E719" t="s">
        <v>184</v>
      </c>
      <c r="F719" t="s">
        <v>31</v>
      </c>
      <c r="G719" s="14">
        <v>16000</v>
      </c>
      <c r="H719">
        <v>1410</v>
      </c>
      <c r="I719">
        <v>11.35</v>
      </c>
      <c r="J719">
        <v>19360</v>
      </c>
    </row>
    <row r="720" spans="1:10" x14ac:dyDescent="0.25">
      <c r="A720" t="s">
        <v>533</v>
      </c>
      <c r="B720" t="s">
        <v>88</v>
      </c>
      <c r="C720" s="1">
        <v>46101</v>
      </c>
      <c r="D720" t="s">
        <v>2046</v>
      </c>
      <c r="E720" t="s">
        <v>90</v>
      </c>
      <c r="F720" t="s">
        <v>91</v>
      </c>
      <c r="G720" s="14">
        <v>61595.14</v>
      </c>
      <c r="H720">
        <v>1410</v>
      </c>
      <c r="I720">
        <v>43.68</v>
      </c>
      <c r="J720">
        <v>74530.12</v>
      </c>
    </row>
    <row r="721" spans="1:10" x14ac:dyDescent="0.25">
      <c r="A721" t="s">
        <v>533</v>
      </c>
      <c r="B721" t="s">
        <v>88</v>
      </c>
      <c r="C721" s="1">
        <v>46101</v>
      </c>
      <c r="D721" t="s">
        <v>2046</v>
      </c>
      <c r="E721" t="s">
        <v>92</v>
      </c>
      <c r="F721" t="s">
        <v>91</v>
      </c>
      <c r="G721" s="14">
        <v>16477.78</v>
      </c>
      <c r="H721">
        <v>1410</v>
      </c>
      <c r="I721">
        <v>11.69</v>
      </c>
      <c r="J721">
        <v>16477.78</v>
      </c>
    </row>
    <row r="722" spans="1:10" x14ac:dyDescent="0.25">
      <c r="A722" t="s">
        <v>226</v>
      </c>
      <c r="B722" t="s">
        <v>88</v>
      </c>
      <c r="C722" s="1">
        <v>46100</v>
      </c>
      <c r="D722" t="s">
        <v>1856</v>
      </c>
      <c r="E722" t="s">
        <v>228</v>
      </c>
      <c r="F722" t="s">
        <v>109</v>
      </c>
      <c r="G722" s="14">
        <v>293269.18</v>
      </c>
      <c r="H722">
        <v>1415</v>
      </c>
      <c r="I722">
        <v>207.26</v>
      </c>
      <c r="J722">
        <v>372451.86</v>
      </c>
    </row>
    <row r="723" spans="1:10" x14ac:dyDescent="0.25">
      <c r="A723" t="s">
        <v>226</v>
      </c>
      <c r="B723" t="s">
        <v>88</v>
      </c>
      <c r="C723" s="1">
        <v>46100</v>
      </c>
      <c r="D723" t="s">
        <v>1856</v>
      </c>
      <c r="E723" t="s">
        <v>229</v>
      </c>
      <c r="F723" t="s">
        <v>109</v>
      </c>
      <c r="G723" s="14">
        <v>104299.59</v>
      </c>
      <c r="H723">
        <v>1415</v>
      </c>
      <c r="I723">
        <v>73.709999999999994</v>
      </c>
      <c r="J723">
        <v>104299.59</v>
      </c>
    </row>
    <row r="724" spans="1:10" x14ac:dyDescent="0.25">
      <c r="A724" t="s">
        <v>226</v>
      </c>
      <c r="B724" t="s">
        <v>88</v>
      </c>
      <c r="C724" s="1">
        <v>46100</v>
      </c>
      <c r="D724" t="s">
        <v>1857</v>
      </c>
      <c r="E724" t="s">
        <v>228</v>
      </c>
      <c r="F724" t="s">
        <v>109</v>
      </c>
      <c r="G724" s="14">
        <v>303140.77</v>
      </c>
      <c r="H724">
        <v>1415</v>
      </c>
      <c r="I724">
        <v>214.23</v>
      </c>
      <c r="J724">
        <v>384988.78</v>
      </c>
    </row>
    <row r="725" spans="1:10" x14ac:dyDescent="0.25">
      <c r="A725" t="s">
        <v>226</v>
      </c>
      <c r="B725" t="s">
        <v>88</v>
      </c>
      <c r="C725" s="1">
        <v>46100</v>
      </c>
      <c r="D725" t="s">
        <v>1857</v>
      </c>
      <c r="E725" t="s">
        <v>229</v>
      </c>
      <c r="F725" t="s">
        <v>109</v>
      </c>
      <c r="G725" s="14">
        <v>108209.71</v>
      </c>
      <c r="H725">
        <v>1415</v>
      </c>
      <c r="I725">
        <v>76.47</v>
      </c>
      <c r="J725">
        <v>108209.71</v>
      </c>
    </row>
    <row r="726" spans="1:10" x14ac:dyDescent="0.25">
      <c r="A726" t="s">
        <v>287</v>
      </c>
      <c r="B726" t="s">
        <v>88</v>
      </c>
      <c r="C726" s="1">
        <v>46100</v>
      </c>
      <c r="D726" t="s">
        <v>1886</v>
      </c>
      <c r="E726" t="s">
        <v>136</v>
      </c>
      <c r="F726" t="s">
        <v>31</v>
      </c>
      <c r="G726" s="14">
        <v>627244.24</v>
      </c>
      <c r="H726">
        <v>1415</v>
      </c>
      <c r="I726">
        <v>443.28</v>
      </c>
      <c r="J726">
        <v>758965.53</v>
      </c>
    </row>
    <row r="727" spans="1:10" x14ac:dyDescent="0.25">
      <c r="A727" t="s">
        <v>287</v>
      </c>
      <c r="B727" t="s">
        <v>88</v>
      </c>
      <c r="C727" s="1">
        <v>46100</v>
      </c>
      <c r="D727" t="s">
        <v>1886</v>
      </c>
      <c r="E727" t="s">
        <v>329</v>
      </c>
      <c r="F727" t="s">
        <v>31</v>
      </c>
      <c r="G727" s="14">
        <v>-627244.24</v>
      </c>
      <c r="H727">
        <v>1415</v>
      </c>
      <c r="I727">
        <v>-443.28</v>
      </c>
      <c r="J727">
        <v>-627244.24</v>
      </c>
    </row>
    <row r="728" spans="1:10" x14ac:dyDescent="0.25">
      <c r="A728" t="s">
        <v>287</v>
      </c>
      <c r="B728" t="s">
        <v>88</v>
      </c>
      <c r="C728" s="1">
        <v>46100</v>
      </c>
      <c r="D728" t="s">
        <v>1886</v>
      </c>
      <c r="E728" t="s">
        <v>184</v>
      </c>
      <c r="F728" t="s">
        <v>31</v>
      </c>
      <c r="G728" s="14">
        <v>140083.06</v>
      </c>
      <c r="H728">
        <v>1415</v>
      </c>
      <c r="I728">
        <v>99</v>
      </c>
      <c r="J728">
        <v>169500.5</v>
      </c>
    </row>
    <row r="729" spans="1:10" x14ac:dyDescent="0.25">
      <c r="A729" t="s">
        <v>287</v>
      </c>
      <c r="B729" t="s">
        <v>88</v>
      </c>
      <c r="C729" s="1">
        <v>46100</v>
      </c>
      <c r="D729" t="s">
        <v>1886</v>
      </c>
      <c r="E729" t="s">
        <v>786</v>
      </c>
      <c r="F729" t="s">
        <v>31</v>
      </c>
      <c r="G729" s="14">
        <v>21.61</v>
      </c>
      <c r="H729">
        <v>1415</v>
      </c>
      <c r="I729">
        <v>0.02</v>
      </c>
      <c r="J729">
        <v>21.61</v>
      </c>
    </row>
    <row r="730" spans="1:10" x14ac:dyDescent="0.25">
      <c r="A730" t="s">
        <v>1362</v>
      </c>
      <c r="B730" t="s">
        <v>88</v>
      </c>
      <c r="C730" s="1">
        <v>46100</v>
      </c>
      <c r="D730" t="s">
        <v>1986</v>
      </c>
      <c r="E730" t="s">
        <v>136</v>
      </c>
      <c r="F730" t="s">
        <v>31</v>
      </c>
      <c r="G730" s="14">
        <v>1338024</v>
      </c>
      <c r="H730">
        <v>1415</v>
      </c>
      <c r="I730">
        <v>945.6</v>
      </c>
      <c r="J730">
        <v>1619009.04</v>
      </c>
    </row>
    <row r="731" spans="1:10" x14ac:dyDescent="0.25">
      <c r="A731" t="s">
        <v>346</v>
      </c>
      <c r="B731" t="s">
        <v>88</v>
      </c>
      <c r="C731" s="1">
        <v>46099</v>
      </c>
      <c r="D731" t="s">
        <v>1900</v>
      </c>
      <c r="E731" t="s">
        <v>90</v>
      </c>
      <c r="F731" t="s">
        <v>91</v>
      </c>
      <c r="G731" s="14">
        <v>72485.3</v>
      </c>
      <c r="H731">
        <v>1415</v>
      </c>
      <c r="I731">
        <v>51.23</v>
      </c>
      <c r="J731">
        <v>87707.22</v>
      </c>
    </row>
    <row r="732" spans="1:10" x14ac:dyDescent="0.25">
      <c r="A732" t="s">
        <v>346</v>
      </c>
      <c r="B732" t="s">
        <v>88</v>
      </c>
      <c r="C732" s="1">
        <v>46099</v>
      </c>
      <c r="D732" t="s">
        <v>1900</v>
      </c>
      <c r="E732" t="s">
        <v>92</v>
      </c>
      <c r="F732" t="s">
        <v>91</v>
      </c>
      <c r="G732" s="14">
        <v>17297.14</v>
      </c>
      <c r="H732">
        <v>1415</v>
      </c>
      <c r="I732">
        <v>12.22</v>
      </c>
      <c r="J732">
        <v>17297.14</v>
      </c>
    </row>
    <row r="733" spans="1:10" x14ac:dyDescent="0.25">
      <c r="A733" t="s">
        <v>1912</v>
      </c>
      <c r="B733" t="s">
        <v>88</v>
      </c>
      <c r="C733" s="1">
        <v>46099</v>
      </c>
      <c r="D733" t="s">
        <v>1913</v>
      </c>
      <c r="E733" t="s">
        <v>136</v>
      </c>
      <c r="F733" t="s">
        <v>31</v>
      </c>
      <c r="G733" s="14">
        <v>1315981.28</v>
      </c>
      <c r="H733">
        <v>1415</v>
      </c>
      <c r="I733">
        <v>930.02</v>
      </c>
      <c r="J733">
        <v>1592337.35</v>
      </c>
    </row>
    <row r="734" spans="1:10" x14ac:dyDescent="0.25">
      <c r="A734" t="s">
        <v>426</v>
      </c>
      <c r="B734" t="s">
        <v>199</v>
      </c>
      <c r="C734" s="1">
        <v>46099</v>
      </c>
      <c r="D734" t="s">
        <v>1962</v>
      </c>
      <c r="E734" t="s">
        <v>136</v>
      </c>
      <c r="F734" t="s">
        <v>31</v>
      </c>
      <c r="G734" s="14">
        <v>-744069.51</v>
      </c>
      <c r="H734">
        <v>1415</v>
      </c>
      <c r="I734">
        <v>-525.84</v>
      </c>
      <c r="J734">
        <v>-900324.11</v>
      </c>
    </row>
    <row r="735" spans="1:10" x14ac:dyDescent="0.25">
      <c r="A735" t="s">
        <v>695</v>
      </c>
      <c r="B735" t="s">
        <v>88</v>
      </c>
      <c r="C735" s="1">
        <v>46098</v>
      </c>
      <c r="D735" t="s">
        <v>1890</v>
      </c>
      <c r="E735" t="s">
        <v>329</v>
      </c>
      <c r="F735" t="s">
        <v>31</v>
      </c>
      <c r="G735" s="14">
        <v>573058</v>
      </c>
      <c r="H735">
        <v>1415</v>
      </c>
      <c r="I735">
        <v>404.99</v>
      </c>
      <c r="J735">
        <v>573058</v>
      </c>
    </row>
    <row r="736" spans="1:10" x14ac:dyDescent="0.25">
      <c r="A736" t="s">
        <v>1923</v>
      </c>
      <c r="B736" t="s">
        <v>88</v>
      </c>
      <c r="C736" s="1">
        <v>46098</v>
      </c>
      <c r="D736" t="s">
        <v>1924</v>
      </c>
      <c r="E736" t="s">
        <v>90</v>
      </c>
      <c r="F736" t="s">
        <v>91</v>
      </c>
      <c r="G736" s="14">
        <v>9049.58</v>
      </c>
      <c r="H736">
        <v>1415</v>
      </c>
      <c r="I736">
        <v>6.4</v>
      </c>
      <c r="J736">
        <v>10950</v>
      </c>
    </row>
    <row r="737" spans="1:10" x14ac:dyDescent="0.25">
      <c r="A737" t="s">
        <v>1362</v>
      </c>
      <c r="B737" t="s">
        <v>88</v>
      </c>
      <c r="C737" s="1">
        <v>46098</v>
      </c>
      <c r="D737" t="s">
        <v>1985</v>
      </c>
      <c r="E737" t="s">
        <v>136</v>
      </c>
      <c r="F737" t="s">
        <v>31</v>
      </c>
      <c r="G737" s="14">
        <v>1552891.76</v>
      </c>
      <c r="H737">
        <v>1415</v>
      </c>
      <c r="I737">
        <v>1097.45</v>
      </c>
      <c r="J737">
        <v>1878999.03</v>
      </c>
    </row>
    <row r="738" spans="1:10" x14ac:dyDescent="0.25">
      <c r="A738" t="s">
        <v>486</v>
      </c>
      <c r="B738" t="s">
        <v>88</v>
      </c>
      <c r="C738" s="1">
        <v>46098</v>
      </c>
      <c r="D738" t="s">
        <v>1999</v>
      </c>
      <c r="E738" t="s">
        <v>90</v>
      </c>
      <c r="F738" t="s">
        <v>91</v>
      </c>
      <c r="G738" s="14">
        <v>8330.2999999999993</v>
      </c>
      <c r="H738">
        <v>1415</v>
      </c>
      <c r="I738">
        <v>5.89</v>
      </c>
      <c r="J738">
        <v>10079.66</v>
      </c>
    </row>
    <row r="739" spans="1:10" x14ac:dyDescent="0.25">
      <c r="A739" t="s">
        <v>486</v>
      </c>
      <c r="B739" t="s">
        <v>88</v>
      </c>
      <c r="C739" s="1">
        <v>46098</v>
      </c>
      <c r="D739" t="s">
        <v>1999</v>
      </c>
      <c r="E739" t="s">
        <v>92</v>
      </c>
      <c r="F739" t="s">
        <v>91</v>
      </c>
      <c r="G739" s="14">
        <v>20.34</v>
      </c>
      <c r="H739">
        <v>1415</v>
      </c>
      <c r="I739">
        <v>0.01</v>
      </c>
      <c r="J739">
        <v>20.34</v>
      </c>
    </row>
    <row r="740" spans="1:10" x14ac:dyDescent="0.25">
      <c r="A740" t="s">
        <v>515</v>
      </c>
      <c r="B740" t="s">
        <v>88</v>
      </c>
      <c r="C740" s="1">
        <v>46098</v>
      </c>
      <c r="D740" t="s">
        <v>2028</v>
      </c>
      <c r="E740" t="s">
        <v>184</v>
      </c>
      <c r="F740" t="s">
        <v>31</v>
      </c>
      <c r="G740" s="14">
        <v>23686</v>
      </c>
      <c r="H740">
        <v>1415</v>
      </c>
      <c r="I740">
        <v>16.739999999999998</v>
      </c>
      <c r="J740">
        <v>28660.06</v>
      </c>
    </row>
    <row r="741" spans="1:10" x14ac:dyDescent="0.25">
      <c r="A741" t="s">
        <v>125</v>
      </c>
      <c r="B741" t="s">
        <v>88</v>
      </c>
      <c r="C741" s="1">
        <v>46097</v>
      </c>
      <c r="D741" t="s">
        <v>1824</v>
      </c>
      <c r="E741" t="s">
        <v>114</v>
      </c>
      <c r="F741" t="s">
        <v>117</v>
      </c>
      <c r="G741" s="14">
        <v>3040.03</v>
      </c>
      <c r="H741">
        <v>1415</v>
      </c>
      <c r="I741">
        <v>2.15</v>
      </c>
      <c r="J741">
        <v>3678.44</v>
      </c>
    </row>
    <row r="742" spans="1:10" x14ac:dyDescent="0.25">
      <c r="A742" t="s">
        <v>125</v>
      </c>
      <c r="B742" t="s">
        <v>88</v>
      </c>
      <c r="C742" s="1">
        <v>46097</v>
      </c>
      <c r="D742" t="s">
        <v>1824</v>
      </c>
      <c r="E742" t="s">
        <v>127</v>
      </c>
      <c r="F742" t="s">
        <v>117</v>
      </c>
      <c r="G742" s="14">
        <v>304</v>
      </c>
      <c r="H742">
        <v>1415</v>
      </c>
      <c r="I742">
        <v>0.21</v>
      </c>
      <c r="J742">
        <v>304</v>
      </c>
    </row>
    <row r="743" spans="1:10" x14ac:dyDescent="0.25">
      <c r="A743" t="s">
        <v>123</v>
      </c>
      <c r="B743" t="s">
        <v>88</v>
      </c>
      <c r="C743" s="1">
        <v>46096</v>
      </c>
      <c r="D743" t="s">
        <v>1822</v>
      </c>
      <c r="E743" t="s">
        <v>114</v>
      </c>
      <c r="F743" t="s">
        <v>117</v>
      </c>
      <c r="G743" s="14">
        <v>6491.56</v>
      </c>
      <c r="H743">
        <v>1420</v>
      </c>
      <c r="I743">
        <v>4.57</v>
      </c>
      <c r="J743">
        <v>7854.79</v>
      </c>
    </row>
    <row r="744" spans="1:10" x14ac:dyDescent="0.25">
      <c r="A744" t="s">
        <v>564</v>
      </c>
      <c r="B744" t="s">
        <v>88</v>
      </c>
      <c r="C744" s="1">
        <v>46095</v>
      </c>
      <c r="D744" t="s">
        <v>1815</v>
      </c>
      <c r="E744" t="s">
        <v>127</v>
      </c>
      <c r="F744" t="s">
        <v>117</v>
      </c>
      <c r="G744" s="14">
        <v>7500</v>
      </c>
      <c r="H744">
        <v>1420</v>
      </c>
      <c r="I744">
        <v>5.28</v>
      </c>
      <c r="J744">
        <v>7500</v>
      </c>
    </row>
    <row r="745" spans="1:10" x14ac:dyDescent="0.25">
      <c r="A745" t="s">
        <v>246</v>
      </c>
      <c r="B745" t="s">
        <v>88</v>
      </c>
      <c r="C745" s="1">
        <v>46095</v>
      </c>
      <c r="D745" t="s">
        <v>1860</v>
      </c>
      <c r="E745" t="s">
        <v>114</v>
      </c>
      <c r="F745" t="s">
        <v>117</v>
      </c>
      <c r="G745" s="14">
        <v>12396.7</v>
      </c>
      <c r="H745">
        <v>1420</v>
      </c>
      <c r="I745">
        <v>8.73</v>
      </c>
      <c r="J745">
        <v>15000</v>
      </c>
    </row>
    <row r="746" spans="1:10" x14ac:dyDescent="0.25">
      <c r="A746" t="s">
        <v>504</v>
      </c>
      <c r="B746" t="s">
        <v>88</v>
      </c>
      <c r="C746" s="1">
        <v>46095</v>
      </c>
      <c r="D746" t="s">
        <v>2014</v>
      </c>
      <c r="E746" t="s">
        <v>506</v>
      </c>
      <c r="F746" t="s">
        <v>109</v>
      </c>
      <c r="G746" s="14">
        <v>246940.12</v>
      </c>
      <c r="H746">
        <v>1420</v>
      </c>
      <c r="I746">
        <v>173.9</v>
      </c>
      <c r="J746">
        <v>313613.95</v>
      </c>
    </row>
    <row r="747" spans="1:10" x14ac:dyDescent="0.25">
      <c r="A747" t="s">
        <v>504</v>
      </c>
      <c r="B747" t="s">
        <v>88</v>
      </c>
      <c r="C747" s="1">
        <v>46095</v>
      </c>
      <c r="D747" t="s">
        <v>2014</v>
      </c>
      <c r="E747" t="s">
        <v>507</v>
      </c>
      <c r="F747" t="s">
        <v>109</v>
      </c>
      <c r="G747" s="14">
        <v>12996.71</v>
      </c>
      <c r="H747">
        <v>1420</v>
      </c>
      <c r="I747">
        <v>9.15</v>
      </c>
      <c r="J747">
        <v>12996.71</v>
      </c>
    </row>
    <row r="748" spans="1:10" x14ac:dyDescent="0.25">
      <c r="A748" t="s">
        <v>426</v>
      </c>
      <c r="B748" t="s">
        <v>88</v>
      </c>
      <c r="C748" s="1">
        <v>46094</v>
      </c>
      <c r="D748" t="s">
        <v>1955</v>
      </c>
      <c r="E748" t="s">
        <v>136</v>
      </c>
      <c r="F748" t="s">
        <v>31</v>
      </c>
      <c r="G748" s="14">
        <v>1098028.94</v>
      </c>
      <c r="H748">
        <v>1420</v>
      </c>
      <c r="I748">
        <v>773.26</v>
      </c>
      <c r="J748">
        <v>1328615.02</v>
      </c>
    </row>
    <row r="749" spans="1:10" x14ac:dyDescent="0.25">
      <c r="A749" t="s">
        <v>313</v>
      </c>
      <c r="B749" t="s">
        <v>88</v>
      </c>
      <c r="C749" s="1">
        <v>46093</v>
      </c>
      <c r="D749" t="s">
        <v>1897</v>
      </c>
      <c r="E749" t="s">
        <v>90</v>
      </c>
      <c r="F749" t="s">
        <v>91</v>
      </c>
      <c r="G749" s="14">
        <v>76562.12</v>
      </c>
      <c r="H749">
        <v>1415</v>
      </c>
      <c r="I749">
        <v>54.11</v>
      </c>
      <c r="J749">
        <v>92640.17</v>
      </c>
    </row>
    <row r="750" spans="1:10" x14ac:dyDescent="0.25">
      <c r="A750" t="s">
        <v>313</v>
      </c>
      <c r="B750" t="s">
        <v>88</v>
      </c>
      <c r="C750" s="1">
        <v>46093</v>
      </c>
      <c r="D750" t="s">
        <v>1897</v>
      </c>
      <c r="E750" t="s">
        <v>92</v>
      </c>
      <c r="F750" t="s">
        <v>91</v>
      </c>
      <c r="G750" s="14">
        <v>7364.8</v>
      </c>
      <c r="H750">
        <v>1415</v>
      </c>
      <c r="I750">
        <v>5.2</v>
      </c>
      <c r="J750">
        <v>7364.8</v>
      </c>
    </row>
    <row r="751" spans="1:10" x14ac:dyDescent="0.25">
      <c r="A751" t="s">
        <v>486</v>
      </c>
      <c r="B751" t="s">
        <v>88</v>
      </c>
      <c r="C751" s="1">
        <v>46093</v>
      </c>
      <c r="D751" t="s">
        <v>1997</v>
      </c>
      <c r="E751" t="s">
        <v>90</v>
      </c>
      <c r="F751" t="s">
        <v>91</v>
      </c>
      <c r="G751" s="14">
        <v>68331.55</v>
      </c>
      <c r="H751">
        <v>1415</v>
      </c>
      <c r="I751">
        <v>48.29</v>
      </c>
      <c r="J751">
        <v>82681.179999999993</v>
      </c>
    </row>
    <row r="752" spans="1:10" x14ac:dyDescent="0.25">
      <c r="A752" t="s">
        <v>486</v>
      </c>
      <c r="B752" t="s">
        <v>88</v>
      </c>
      <c r="C752" s="1">
        <v>46093</v>
      </c>
      <c r="D752" t="s">
        <v>1997</v>
      </c>
      <c r="E752" t="s">
        <v>92</v>
      </c>
      <c r="F752" t="s">
        <v>91</v>
      </c>
      <c r="G752" s="14">
        <v>19320.849999999999</v>
      </c>
      <c r="H752">
        <v>1415</v>
      </c>
      <c r="I752">
        <v>13.65</v>
      </c>
      <c r="J752">
        <v>19320.849999999999</v>
      </c>
    </row>
    <row r="753" spans="1:10" x14ac:dyDescent="0.25">
      <c r="A753" t="s">
        <v>486</v>
      </c>
      <c r="B753" t="s">
        <v>88</v>
      </c>
      <c r="C753" s="1">
        <v>46093</v>
      </c>
      <c r="D753" t="s">
        <v>1998</v>
      </c>
      <c r="E753" t="s">
        <v>90</v>
      </c>
      <c r="F753" t="s">
        <v>91</v>
      </c>
      <c r="G753" s="14">
        <v>4513.9799999999996</v>
      </c>
      <c r="H753">
        <v>1415</v>
      </c>
      <c r="I753">
        <v>3.19</v>
      </c>
      <c r="J753">
        <v>5461.93</v>
      </c>
    </row>
    <row r="754" spans="1:10" x14ac:dyDescent="0.25">
      <c r="A754" t="s">
        <v>486</v>
      </c>
      <c r="B754" t="s">
        <v>88</v>
      </c>
      <c r="C754" s="1">
        <v>46093</v>
      </c>
      <c r="D754" t="s">
        <v>1998</v>
      </c>
      <c r="E754" t="s">
        <v>92</v>
      </c>
      <c r="F754" t="s">
        <v>91</v>
      </c>
      <c r="G754" s="14">
        <v>161.35</v>
      </c>
      <c r="H754">
        <v>1415</v>
      </c>
      <c r="I754">
        <v>0.11</v>
      </c>
      <c r="J754">
        <v>161.35</v>
      </c>
    </row>
    <row r="755" spans="1:10" x14ac:dyDescent="0.25">
      <c r="A755" t="s">
        <v>515</v>
      </c>
      <c r="B755" t="s">
        <v>88</v>
      </c>
      <c r="C755" s="1">
        <v>46093</v>
      </c>
      <c r="D755" t="s">
        <v>2027</v>
      </c>
      <c r="E755" t="s">
        <v>184</v>
      </c>
      <c r="F755" t="s">
        <v>31</v>
      </c>
      <c r="G755" s="14">
        <v>35339</v>
      </c>
      <c r="H755">
        <v>1415</v>
      </c>
      <c r="I755">
        <v>24.97</v>
      </c>
      <c r="J755">
        <v>42760.19</v>
      </c>
    </row>
    <row r="756" spans="1:10" x14ac:dyDescent="0.25">
      <c r="A756" t="s">
        <v>400</v>
      </c>
      <c r="B756" t="s">
        <v>88</v>
      </c>
      <c r="C756" s="1">
        <v>46092</v>
      </c>
      <c r="D756" t="s">
        <v>1932</v>
      </c>
      <c r="E756" t="s">
        <v>184</v>
      </c>
      <c r="F756" t="s">
        <v>33</v>
      </c>
      <c r="G756" s="14">
        <v>110151.03999999999</v>
      </c>
      <c r="H756">
        <v>1415</v>
      </c>
      <c r="I756">
        <v>77.849999999999994</v>
      </c>
      <c r="J756">
        <v>133282.76</v>
      </c>
    </row>
    <row r="757" spans="1:10" x14ac:dyDescent="0.25">
      <c r="A757" t="s">
        <v>1745</v>
      </c>
      <c r="B757" t="s">
        <v>88</v>
      </c>
      <c r="C757" s="1">
        <v>46092</v>
      </c>
      <c r="D757" t="s">
        <v>2008</v>
      </c>
      <c r="E757" t="s">
        <v>205</v>
      </c>
      <c r="F757" t="s">
        <v>855</v>
      </c>
      <c r="G757" s="14">
        <v>29752.07</v>
      </c>
      <c r="H757">
        <v>1415</v>
      </c>
      <c r="I757">
        <v>21.03</v>
      </c>
      <c r="J757">
        <v>36000</v>
      </c>
    </row>
    <row r="758" spans="1:10" x14ac:dyDescent="0.25">
      <c r="A758" t="s">
        <v>552</v>
      </c>
      <c r="B758" t="s">
        <v>88</v>
      </c>
      <c r="C758" s="1">
        <v>46092</v>
      </c>
      <c r="D758" t="s">
        <v>2052</v>
      </c>
      <c r="E758" t="s">
        <v>136</v>
      </c>
      <c r="F758" t="s">
        <v>31</v>
      </c>
      <c r="G758" s="14">
        <v>2590223.0099999998</v>
      </c>
      <c r="H758">
        <v>1415</v>
      </c>
      <c r="I758">
        <v>1830.55</v>
      </c>
      <c r="J758">
        <v>3134169.84</v>
      </c>
    </row>
    <row r="759" spans="1:10" x14ac:dyDescent="0.25">
      <c r="A759" t="s">
        <v>935</v>
      </c>
      <c r="B759" t="s">
        <v>470</v>
      </c>
      <c r="C759" s="1">
        <v>46091</v>
      </c>
      <c r="D759" t="s">
        <v>1813</v>
      </c>
      <c r="E759" t="s">
        <v>944</v>
      </c>
      <c r="F759" t="s">
        <v>945</v>
      </c>
      <c r="G759" s="14">
        <v>63620.51</v>
      </c>
      <c r="H759">
        <v>1420</v>
      </c>
      <c r="I759">
        <v>44.8</v>
      </c>
      <c r="J759">
        <v>76980.820000000007</v>
      </c>
    </row>
    <row r="760" spans="1:10" x14ac:dyDescent="0.25">
      <c r="A760" t="s">
        <v>1914</v>
      </c>
      <c r="B760" t="s">
        <v>88</v>
      </c>
      <c r="C760" s="1">
        <v>46091</v>
      </c>
      <c r="D760" t="s">
        <v>1915</v>
      </c>
      <c r="E760" t="s">
        <v>610</v>
      </c>
      <c r="F760" t="s">
        <v>475</v>
      </c>
      <c r="G760" s="14">
        <v>81249.41</v>
      </c>
      <c r="H760">
        <v>1420</v>
      </c>
      <c r="I760">
        <v>57.22</v>
      </c>
      <c r="J760">
        <v>98311.85</v>
      </c>
    </row>
    <row r="761" spans="1:10" x14ac:dyDescent="0.25">
      <c r="A761" t="s">
        <v>1914</v>
      </c>
      <c r="B761" t="s">
        <v>88</v>
      </c>
      <c r="C761" s="1">
        <v>46091</v>
      </c>
      <c r="D761" t="s">
        <v>1915</v>
      </c>
      <c r="E761" t="s">
        <v>611</v>
      </c>
      <c r="F761" t="s">
        <v>475</v>
      </c>
      <c r="G761" s="14">
        <v>2152.5</v>
      </c>
      <c r="H761">
        <v>1420</v>
      </c>
      <c r="I761">
        <v>1.52</v>
      </c>
      <c r="J761">
        <v>2152.5</v>
      </c>
    </row>
    <row r="762" spans="1:10" x14ac:dyDescent="0.25">
      <c r="A762" t="s">
        <v>1914</v>
      </c>
      <c r="B762" t="s">
        <v>88</v>
      </c>
      <c r="C762" s="1">
        <v>46091</v>
      </c>
      <c r="D762" t="s">
        <v>1916</v>
      </c>
      <c r="E762" t="s">
        <v>610</v>
      </c>
      <c r="F762" t="s">
        <v>475</v>
      </c>
      <c r="G762" s="14">
        <v>127643.25</v>
      </c>
      <c r="H762">
        <v>1420</v>
      </c>
      <c r="I762">
        <v>89.89</v>
      </c>
      <c r="J762">
        <v>154448.32999999999</v>
      </c>
    </row>
    <row r="763" spans="1:10" x14ac:dyDescent="0.25">
      <c r="A763" t="s">
        <v>1914</v>
      </c>
      <c r="B763" t="s">
        <v>88</v>
      </c>
      <c r="C763" s="1">
        <v>46091</v>
      </c>
      <c r="D763" t="s">
        <v>1916</v>
      </c>
      <c r="E763" t="s">
        <v>611</v>
      </c>
      <c r="F763" t="s">
        <v>475</v>
      </c>
      <c r="G763" s="14">
        <v>3372.97</v>
      </c>
      <c r="H763">
        <v>1420</v>
      </c>
      <c r="I763">
        <v>2.38</v>
      </c>
      <c r="J763">
        <v>3372.97</v>
      </c>
    </row>
    <row r="764" spans="1:10" x14ac:dyDescent="0.25">
      <c r="A764" t="s">
        <v>426</v>
      </c>
      <c r="B764" t="s">
        <v>88</v>
      </c>
      <c r="C764" s="1">
        <v>46091</v>
      </c>
      <c r="D764" t="s">
        <v>1954</v>
      </c>
      <c r="E764" t="s">
        <v>136</v>
      </c>
      <c r="F764" t="s">
        <v>31</v>
      </c>
      <c r="G764" s="14">
        <v>99209.26</v>
      </c>
      <c r="H764">
        <v>1420</v>
      </c>
      <c r="I764">
        <v>69.87</v>
      </c>
      <c r="J764">
        <v>120043.2</v>
      </c>
    </row>
    <row r="765" spans="1:10" x14ac:dyDescent="0.25">
      <c r="A765" t="s">
        <v>527</v>
      </c>
      <c r="B765" t="s">
        <v>88</v>
      </c>
      <c r="C765" s="1">
        <v>46091</v>
      </c>
      <c r="D765" t="s">
        <v>2036</v>
      </c>
      <c r="E765" t="s">
        <v>297</v>
      </c>
      <c r="F765" t="s">
        <v>855</v>
      </c>
      <c r="G765" s="14">
        <v>219380.48000000001</v>
      </c>
      <c r="H765">
        <v>1420</v>
      </c>
      <c r="I765">
        <v>154.49</v>
      </c>
      <c r="J765">
        <v>265450.23999999999</v>
      </c>
    </row>
    <row r="766" spans="1:10" x14ac:dyDescent="0.25">
      <c r="A766" t="s">
        <v>527</v>
      </c>
      <c r="B766" t="s">
        <v>88</v>
      </c>
      <c r="C766" s="1">
        <v>46091</v>
      </c>
      <c r="D766" t="s">
        <v>2036</v>
      </c>
      <c r="E766" t="s">
        <v>529</v>
      </c>
      <c r="F766" t="s">
        <v>855</v>
      </c>
      <c r="G766" s="14">
        <v>352000</v>
      </c>
      <c r="H766">
        <v>1420</v>
      </c>
      <c r="I766">
        <v>247.89</v>
      </c>
      <c r="J766">
        <v>425920</v>
      </c>
    </row>
    <row r="767" spans="1:10" x14ac:dyDescent="0.25">
      <c r="A767" t="s">
        <v>527</v>
      </c>
      <c r="B767" t="s">
        <v>88</v>
      </c>
      <c r="C767" s="1">
        <v>46091</v>
      </c>
      <c r="D767" t="s">
        <v>2037</v>
      </c>
      <c r="E767" t="s">
        <v>297</v>
      </c>
      <c r="F767" t="s">
        <v>855</v>
      </c>
      <c r="G767" s="14">
        <v>218211.9</v>
      </c>
      <c r="H767">
        <v>1420</v>
      </c>
      <c r="I767">
        <v>153.66999999999999</v>
      </c>
      <c r="J767">
        <v>264036.26</v>
      </c>
    </row>
    <row r="768" spans="1:10" x14ac:dyDescent="0.25">
      <c r="A768" t="s">
        <v>527</v>
      </c>
      <c r="B768" t="s">
        <v>88</v>
      </c>
      <c r="C768" s="1">
        <v>46091</v>
      </c>
      <c r="D768" t="s">
        <v>2037</v>
      </c>
      <c r="E768" t="s">
        <v>529</v>
      </c>
      <c r="F768" t="s">
        <v>855</v>
      </c>
      <c r="G768" s="14">
        <v>350125</v>
      </c>
      <c r="H768">
        <v>1420</v>
      </c>
      <c r="I768">
        <v>246.57</v>
      </c>
      <c r="J768">
        <v>423651.25</v>
      </c>
    </row>
    <row r="769" spans="1:10" x14ac:dyDescent="0.25">
      <c r="A769" t="s">
        <v>527</v>
      </c>
      <c r="B769" t="s">
        <v>470</v>
      </c>
      <c r="C769" s="1">
        <v>46091</v>
      </c>
      <c r="D769" t="s">
        <v>2041</v>
      </c>
      <c r="E769" t="s">
        <v>297</v>
      </c>
      <c r="F769" t="s">
        <v>31</v>
      </c>
      <c r="G769" s="14">
        <v>26589.39</v>
      </c>
      <c r="H769">
        <v>1420</v>
      </c>
      <c r="I769">
        <v>18.72</v>
      </c>
      <c r="J769">
        <v>32173.16</v>
      </c>
    </row>
    <row r="770" spans="1:10" x14ac:dyDescent="0.25">
      <c r="A770" t="s">
        <v>527</v>
      </c>
      <c r="B770" t="s">
        <v>470</v>
      </c>
      <c r="C770" s="1">
        <v>46091</v>
      </c>
      <c r="D770" t="s">
        <v>2041</v>
      </c>
      <c r="E770" t="s">
        <v>84</v>
      </c>
      <c r="F770" t="s">
        <v>31</v>
      </c>
      <c r="G770" s="14">
        <v>2215782.4300000002</v>
      </c>
      <c r="H770">
        <v>1420</v>
      </c>
      <c r="I770">
        <v>1560.41</v>
      </c>
      <c r="J770">
        <v>2215782.4300000002</v>
      </c>
    </row>
    <row r="771" spans="1:10" x14ac:dyDescent="0.25">
      <c r="A771" t="s">
        <v>527</v>
      </c>
      <c r="B771" t="s">
        <v>470</v>
      </c>
      <c r="C771" s="1">
        <v>46091</v>
      </c>
      <c r="D771" t="s">
        <v>2042</v>
      </c>
      <c r="E771" t="s">
        <v>297</v>
      </c>
      <c r="F771" t="s">
        <v>855</v>
      </c>
      <c r="G771" s="14">
        <v>5510.72</v>
      </c>
      <c r="H771">
        <v>1420</v>
      </c>
      <c r="I771">
        <v>3.88</v>
      </c>
      <c r="J771">
        <v>6667.97</v>
      </c>
    </row>
    <row r="772" spans="1:10" x14ac:dyDescent="0.25">
      <c r="A772" t="s">
        <v>527</v>
      </c>
      <c r="B772" t="s">
        <v>470</v>
      </c>
      <c r="C772" s="1">
        <v>46091</v>
      </c>
      <c r="D772" t="s">
        <v>2042</v>
      </c>
      <c r="E772" t="s">
        <v>84</v>
      </c>
      <c r="F772" t="s">
        <v>855</v>
      </c>
      <c r="G772" s="14">
        <v>459227.08</v>
      </c>
      <c r="H772">
        <v>1420</v>
      </c>
      <c r="I772">
        <v>323.39999999999998</v>
      </c>
      <c r="J772">
        <v>459227.08</v>
      </c>
    </row>
    <row r="773" spans="1:10" x14ac:dyDescent="0.25">
      <c r="A773" t="s">
        <v>1525</v>
      </c>
      <c r="B773" t="s">
        <v>88</v>
      </c>
      <c r="C773" s="1">
        <v>46090</v>
      </c>
      <c r="D773" t="s">
        <v>1826</v>
      </c>
      <c r="E773" t="s">
        <v>136</v>
      </c>
      <c r="F773" t="s">
        <v>31</v>
      </c>
      <c r="G773" s="14">
        <v>15483421.92</v>
      </c>
      <c r="H773">
        <v>1435</v>
      </c>
      <c r="I773">
        <v>10789.84</v>
      </c>
      <c r="J773">
        <v>18734940.239999998</v>
      </c>
    </row>
    <row r="774" spans="1:10" x14ac:dyDescent="0.25">
      <c r="A774" t="s">
        <v>426</v>
      </c>
      <c r="B774" t="s">
        <v>88</v>
      </c>
      <c r="C774" s="1">
        <v>46090</v>
      </c>
      <c r="D774" t="s">
        <v>1952</v>
      </c>
      <c r="E774" t="s">
        <v>136</v>
      </c>
      <c r="F774" t="s">
        <v>31</v>
      </c>
      <c r="G774" s="14">
        <v>63151.33</v>
      </c>
      <c r="H774">
        <v>1435</v>
      </c>
      <c r="I774">
        <v>44.01</v>
      </c>
      <c r="J774">
        <v>76413.11</v>
      </c>
    </row>
    <row r="775" spans="1:10" x14ac:dyDescent="0.25">
      <c r="A775" t="s">
        <v>426</v>
      </c>
      <c r="B775" t="s">
        <v>88</v>
      </c>
      <c r="C775" s="1">
        <v>46090</v>
      </c>
      <c r="D775" t="s">
        <v>1953</v>
      </c>
      <c r="E775" t="s">
        <v>136</v>
      </c>
      <c r="F775" t="s">
        <v>31</v>
      </c>
      <c r="G775" s="14">
        <v>378882.08</v>
      </c>
      <c r="H775">
        <v>1435</v>
      </c>
      <c r="I775">
        <v>264.02999999999997</v>
      </c>
      <c r="J775">
        <v>458447.32</v>
      </c>
    </row>
    <row r="776" spans="1:10" x14ac:dyDescent="0.25">
      <c r="A776" t="s">
        <v>175</v>
      </c>
      <c r="B776" t="s">
        <v>88</v>
      </c>
      <c r="C776" s="1">
        <v>46087</v>
      </c>
      <c r="D776" t="s">
        <v>1840</v>
      </c>
      <c r="E776" t="s">
        <v>177</v>
      </c>
      <c r="F776" t="s">
        <v>109</v>
      </c>
      <c r="G776" s="14">
        <v>19420.45</v>
      </c>
      <c r="H776">
        <v>1435</v>
      </c>
      <c r="I776">
        <v>13.53</v>
      </c>
      <c r="J776">
        <v>24663.97</v>
      </c>
    </row>
    <row r="777" spans="1:10" x14ac:dyDescent="0.25">
      <c r="A777" t="s">
        <v>287</v>
      </c>
      <c r="B777" t="s">
        <v>88</v>
      </c>
      <c r="C777" s="1">
        <v>46087</v>
      </c>
      <c r="D777" t="s">
        <v>1883</v>
      </c>
      <c r="E777" t="s">
        <v>329</v>
      </c>
      <c r="F777" t="s">
        <v>31</v>
      </c>
      <c r="G777" s="14">
        <v>-3100034.76</v>
      </c>
      <c r="H777">
        <v>1435</v>
      </c>
      <c r="I777">
        <v>-2160.3000000000002</v>
      </c>
      <c r="J777">
        <v>-3100034.76</v>
      </c>
    </row>
    <row r="778" spans="1:10" x14ac:dyDescent="0.25">
      <c r="A778" t="s">
        <v>287</v>
      </c>
      <c r="B778" t="s">
        <v>88</v>
      </c>
      <c r="C778" s="1">
        <v>46087</v>
      </c>
      <c r="D778" t="s">
        <v>1883</v>
      </c>
      <c r="E778" t="s">
        <v>184</v>
      </c>
      <c r="F778" t="s">
        <v>31</v>
      </c>
      <c r="G778" s="14">
        <v>1960433.24</v>
      </c>
      <c r="H778">
        <v>1435</v>
      </c>
      <c r="I778">
        <v>1366.16</v>
      </c>
      <c r="J778">
        <v>2372124.2200000002</v>
      </c>
    </row>
    <row r="779" spans="1:10" x14ac:dyDescent="0.25">
      <c r="A779" t="s">
        <v>287</v>
      </c>
      <c r="B779" t="s">
        <v>88</v>
      </c>
      <c r="C779" s="1">
        <v>46087</v>
      </c>
      <c r="D779" t="s">
        <v>1883</v>
      </c>
      <c r="E779" t="s">
        <v>1884</v>
      </c>
      <c r="F779" t="s">
        <v>31</v>
      </c>
      <c r="G779" s="14">
        <v>1718080.05</v>
      </c>
      <c r="H779">
        <v>1435</v>
      </c>
      <c r="I779">
        <v>1197.27</v>
      </c>
      <c r="J779">
        <v>1898478.46</v>
      </c>
    </row>
    <row r="780" spans="1:10" x14ac:dyDescent="0.25">
      <c r="A780" t="s">
        <v>287</v>
      </c>
      <c r="B780" t="s">
        <v>88</v>
      </c>
      <c r="C780" s="1">
        <v>46087</v>
      </c>
      <c r="D780" t="s">
        <v>1883</v>
      </c>
      <c r="E780" t="s">
        <v>786</v>
      </c>
      <c r="F780" t="s">
        <v>31</v>
      </c>
      <c r="G780" s="14">
        <v>-16.010000000000002</v>
      </c>
      <c r="H780">
        <v>1435</v>
      </c>
      <c r="I780">
        <v>-0.01</v>
      </c>
      <c r="J780">
        <v>-16.010000000000002</v>
      </c>
    </row>
    <row r="781" spans="1:10" x14ac:dyDescent="0.25">
      <c r="A781" t="s">
        <v>287</v>
      </c>
      <c r="B781" t="s">
        <v>88</v>
      </c>
      <c r="C781" s="1">
        <v>46087</v>
      </c>
      <c r="D781" t="s">
        <v>1885</v>
      </c>
      <c r="E781" t="s">
        <v>297</v>
      </c>
      <c r="F781" t="s">
        <v>855</v>
      </c>
      <c r="G781" s="14">
        <v>337012.5</v>
      </c>
      <c r="H781">
        <v>1435</v>
      </c>
      <c r="I781">
        <v>234.85</v>
      </c>
      <c r="J781">
        <v>407792.25</v>
      </c>
    </row>
    <row r="782" spans="1:10" x14ac:dyDescent="0.25">
      <c r="A782" t="s">
        <v>295</v>
      </c>
      <c r="B782" t="s">
        <v>88</v>
      </c>
      <c r="C782" s="1">
        <v>46087</v>
      </c>
      <c r="D782" t="s">
        <v>1892</v>
      </c>
      <c r="E782" t="s">
        <v>297</v>
      </c>
      <c r="F782" t="s">
        <v>855</v>
      </c>
      <c r="G782" s="14">
        <v>32408.26</v>
      </c>
      <c r="H782">
        <v>1435</v>
      </c>
      <c r="I782">
        <v>22.58</v>
      </c>
      <c r="J782">
        <v>39214</v>
      </c>
    </row>
    <row r="783" spans="1:10" x14ac:dyDescent="0.25">
      <c r="A783" t="s">
        <v>501</v>
      </c>
      <c r="B783" t="s">
        <v>88</v>
      </c>
      <c r="C783" s="1">
        <v>46087</v>
      </c>
      <c r="D783" t="s">
        <v>2006</v>
      </c>
      <c r="E783" t="s">
        <v>205</v>
      </c>
      <c r="F783" t="s">
        <v>109</v>
      </c>
      <c r="G783" s="14">
        <v>251030.28</v>
      </c>
      <c r="H783">
        <v>1435</v>
      </c>
      <c r="I783">
        <v>174.93</v>
      </c>
      <c r="J783">
        <v>303746.64</v>
      </c>
    </row>
    <row r="784" spans="1:10" x14ac:dyDescent="0.25">
      <c r="A784" t="s">
        <v>81</v>
      </c>
      <c r="B784" t="s">
        <v>208</v>
      </c>
      <c r="C784" s="1">
        <v>46086</v>
      </c>
      <c r="D784" t="s">
        <v>1816</v>
      </c>
      <c r="E784" t="s">
        <v>84</v>
      </c>
      <c r="F784" t="s">
        <v>855</v>
      </c>
      <c r="G784" s="14">
        <v>2721381.6</v>
      </c>
      <c r="H784">
        <v>1425</v>
      </c>
      <c r="I784">
        <v>1909.74</v>
      </c>
      <c r="J784">
        <v>2721381.6</v>
      </c>
    </row>
    <row r="785" spans="1:10" x14ac:dyDescent="0.25">
      <c r="A785" t="s">
        <v>81</v>
      </c>
      <c r="B785" t="s">
        <v>208</v>
      </c>
      <c r="C785" s="1">
        <v>46086</v>
      </c>
      <c r="D785" t="s">
        <v>1816</v>
      </c>
      <c r="E785" t="s">
        <v>570</v>
      </c>
      <c r="G785" s="14">
        <v>0</v>
      </c>
      <c r="H785">
        <v>1425</v>
      </c>
      <c r="I785">
        <v>0</v>
      </c>
      <c r="J785">
        <v>3275923.55</v>
      </c>
    </row>
    <row r="786" spans="1:10" x14ac:dyDescent="0.25">
      <c r="A786" t="s">
        <v>132</v>
      </c>
      <c r="B786" t="s">
        <v>88</v>
      </c>
      <c r="C786" s="1">
        <v>46086</v>
      </c>
      <c r="D786" t="s">
        <v>1832</v>
      </c>
      <c r="E786" t="s">
        <v>136</v>
      </c>
      <c r="F786" t="s">
        <v>135</v>
      </c>
      <c r="G786" s="14">
        <v>9645.39</v>
      </c>
      <c r="H786">
        <v>1425</v>
      </c>
      <c r="I786">
        <v>6.77</v>
      </c>
      <c r="J786">
        <v>11670.92</v>
      </c>
    </row>
    <row r="787" spans="1:10" x14ac:dyDescent="0.25">
      <c r="A787" t="s">
        <v>226</v>
      </c>
      <c r="B787" t="s">
        <v>88</v>
      </c>
      <c r="C787" s="1">
        <v>46086</v>
      </c>
      <c r="D787" t="s">
        <v>1854</v>
      </c>
      <c r="E787" t="s">
        <v>232</v>
      </c>
      <c r="F787" t="s">
        <v>109</v>
      </c>
      <c r="G787" s="14">
        <v>4526.4399999999996</v>
      </c>
      <c r="H787">
        <v>1425</v>
      </c>
      <c r="I787">
        <v>3.18</v>
      </c>
      <c r="J787">
        <v>5748.58</v>
      </c>
    </row>
    <row r="788" spans="1:10" x14ac:dyDescent="0.25">
      <c r="A788" t="s">
        <v>226</v>
      </c>
      <c r="B788" t="s">
        <v>88</v>
      </c>
      <c r="C788" s="1">
        <v>46086</v>
      </c>
      <c r="D788" t="s">
        <v>1854</v>
      </c>
      <c r="E788" t="s">
        <v>233</v>
      </c>
      <c r="F788" t="s">
        <v>109</v>
      </c>
      <c r="G788" s="14">
        <v>4156.07</v>
      </c>
      <c r="H788">
        <v>1425</v>
      </c>
      <c r="I788">
        <v>2.92</v>
      </c>
      <c r="J788">
        <v>4156.07</v>
      </c>
    </row>
    <row r="789" spans="1:10" x14ac:dyDescent="0.25">
      <c r="A789" t="s">
        <v>226</v>
      </c>
      <c r="B789" t="s">
        <v>88</v>
      </c>
      <c r="C789" s="1">
        <v>46086</v>
      </c>
      <c r="D789" t="s">
        <v>1855</v>
      </c>
      <c r="E789" t="s">
        <v>232</v>
      </c>
      <c r="F789" t="s">
        <v>109</v>
      </c>
      <c r="G789" s="14">
        <v>4323.25</v>
      </c>
      <c r="H789">
        <v>1425</v>
      </c>
      <c r="I789">
        <v>3.03</v>
      </c>
      <c r="J789">
        <v>5490.53</v>
      </c>
    </row>
    <row r="790" spans="1:10" x14ac:dyDescent="0.25">
      <c r="A790" t="s">
        <v>226</v>
      </c>
      <c r="B790" t="s">
        <v>88</v>
      </c>
      <c r="C790" s="1">
        <v>46086</v>
      </c>
      <c r="D790" t="s">
        <v>1855</v>
      </c>
      <c r="E790" t="s">
        <v>233</v>
      </c>
      <c r="F790" t="s">
        <v>109</v>
      </c>
      <c r="G790" s="14">
        <v>3998.17</v>
      </c>
      <c r="H790">
        <v>1425</v>
      </c>
      <c r="I790">
        <v>2.81</v>
      </c>
      <c r="J790">
        <v>3998.17</v>
      </c>
    </row>
    <row r="791" spans="1:10" x14ac:dyDescent="0.25">
      <c r="A791" t="s">
        <v>265</v>
      </c>
      <c r="B791" t="s">
        <v>88</v>
      </c>
      <c r="C791" s="1">
        <v>46085</v>
      </c>
      <c r="D791" t="s">
        <v>1873</v>
      </c>
      <c r="E791" t="s">
        <v>267</v>
      </c>
      <c r="F791" t="s">
        <v>109</v>
      </c>
      <c r="G791" s="14">
        <v>99000</v>
      </c>
      <c r="H791">
        <v>1420</v>
      </c>
      <c r="I791">
        <v>69.72</v>
      </c>
      <c r="J791">
        <v>119790</v>
      </c>
    </row>
    <row r="792" spans="1:10" x14ac:dyDescent="0.25">
      <c r="A792" t="s">
        <v>443</v>
      </c>
      <c r="B792" t="s">
        <v>88</v>
      </c>
      <c r="C792" s="1">
        <v>46085</v>
      </c>
      <c r="D792" t="s">
        <v>1966</v>
      </c>
      <c r="E792" t="s">
        <v>90</v>
      </c>
      <c r="F792" t="s">
        <v>91</v>
      </c>
      <c r="G792" s="14">
        <v>4474.29</v>
      </c>
      <c r="H792">
        <v>1420</v>
      </c>
      <c r="I792">
        <v>3.15</v>
      </c>
      <c r="J792">
        <v>5413.9</v>
      </c>
    </row>
    <row r="793" spans="1:10" x14ac:dyDescent="0.25">
      <c r="A793" t="s">
        <v>443</v>
      </c>
      <c r="B793" t="s">
        <v>88</v>
      </c>
      <c r="C793" s="1">
        <v>46085</v>
      </c>
      <c r="D793" t="s">
        <v>1966</v>
      </c>
      <c r="E793" t="s">
        <v>92</v>
      </c>
      <c r="F793" t="s">
        <v>91</v>
      </c>
      <c r="G793" s="14">
        <v>86.1</v>
      </c>
      <c r="H793">
        <v>1420</v>
      </c>
      <c r="I793">
        <v>0.06</v>
      </c>
      <c r="J793">
        <v>86.1</v>
      </c>
    </row>
    <row r="794" spans="1:10" x14ac:dyDescent="0.25">
      <c r="A794" t="s">
        <v>497</v>
      </c>
      <c r="B794" t="s">
        <v>88</v>
      </c>
      <c r="C794" s="1">
        <v>46085</v>
      </c>
      <c r="D794" t="s">
        <v>2004</v>
      </c>
      <c r="E794" t="s">
        <v>136</v>
      </c>
      <c r="F794" t="s">
        <v>855</v>
      </c>
      <c r="G794" s="14">
        <v>43319.199999999997</v>
      </c>
      <c r="H794">
        <v>1420</v>
      </c>
      <c r="I794">
        <v>30.51</v>
      </c>
      <c r="J794">
        <v>52416.23</v>
      </c>
    </row>
    <row r="795" spans="1:10" x14ac:dyDescent="0.25">
      <c r="A795" t="s">
        <v>533</v>
      </c>
      <c r="B795" t="s">
        <v>88</v>
      </c>
      <c r="C795" s="1">
        <v>46085</v>
      </c>
      <c r="D795" t="s">
        <v>2044</v>
      </c>
      <c r="E795" t="s">
        <v>90</v>
      </c>
      <c r="F795" t="s">
        <v>91</v>
      </c>
      <c r="G795" s="14">
        <v>87774.1</v>
      </c>
      <c r="H795">
        <v>1420</v>
      </c>
      <c r="I795">
        <v>61.81</v>
      </c>
      <c r="J795">
        <v>106206.67</v>
      </c>
    </row>
    <row r="796" spans="1:10" x14ac:dyDescent="0.25">
      <c r="A796" t="s">
        <v>533</v>
      </c>
      <c r="B796" t="s">
        <v>88</v>
      </c>
      <c r="C796" s="1">
        <v>46085</v>
      </c>
      <c r="D796" t="s">
        <v>2044</v>
      </c>
      <c r="E796" t="s">
        <v>92</v>
      </c>
      <c r="F796" t="s">
        <v>91</v>
      </c>
      <c r="G796" s="14">
        <v>18799.28</v>
      </c>
      <c r="H796">
        <v>1420</v>
      </c>
      <c r="I796">
        <v>13.24</v>
      </c>
      <c r="J796">
        <v>18799.28</v>
      </c>
    </row>
    <row r="797" spans="1:10" x14ac:dyDescent="0.25">
      <c r="A797" t="s">
        <v>552</v>
      </c>
      <c r="B797" t="s">
        <v>88</v>
      </c>
      <c r="C797" s="1">
        <v>46085</v>
      </c>
      <c r="D797" t="s">
        <v>2050</v>
      </c>
      <c r="E797" t="s">
        <v>136</v>
      </c>
      <c r="F797" t="s">
        <v>855</v>
      </c>
      <c r="G797" s="14">
        <v>327766.59999999998</v>
      </c>
      <c r="H797">
        <v>1420</v>
      </c>
      <c r="I797">
        <v>230.82</v>
      </c>
      <c r="J797">
        <v>396597.59</v>
      </c>
    </row>
    <row r="798" spans="1:10" x14ac:dyDescent="0.25">
      <c r="A798" t="s">
        <v>106</v>
      </c>
      <c r="B798" t="s">
        <v>88</v>
      </c>
      <c r="C798" s="1">
        <v>46084</v>
      </c>
      <c r="D798" t="s">
        <v>1520</v>
      </c>
      <c r="E798" t="s">
        <v>102</v>
      </c>
      <c r="F798" t="s">
        <v>109</v>
      </c>
      <c r="G798" s="14">
        <v>61295</v>
      </c>
      <c r="H798">
        <v>1435</v>
      </c>
      <c r="I798">
        <v>42.71</v>
      </c>
      <c r="J798">
        <v>61295</v>
      </c>
    </row>
    <row r="799" spans="1:10" x14ac:dyDescent="0.25">
      <c r="A799" t="s">
        <v>182</v>
      </c>
      <c r="B799" t="s">
        <v>88</v>
      </c>
      <c r="C799" s="1">
        <v>46084</v>
      </c>
      <c r="D799" t="s">
        <v>1557</v>
      </c>
      <c r="E799" t="s">
        <v>184</v>
      </c>
      <c r="F799" t="s">
        <v>31</v>
      </c>
      <c r="G799" s="14">
        <v>79055.87</v>
      </c>
      <c r="H799">
        <v>1435</v>
      </c>
      <c r="I799">
        <v>55.09</v>
      </c>
      <c r="J799">
        <v>95657.600000000006</v>
      </c>
    </row>
    <row r="800" spans="1:10" x14ac:dyDescent="0.25">
      <c r="A800" t="s">
        <v>504</v>
      </c>
      <c r="B800" t="s">
        <v>88</v>
      </c>
      <c r="C800" s="1">
        <v>46084</v>
      </c>
      <c r="D800" t="s">
        <v>1756</v>
      </c>
      <c r="E800" t="s">
        <v>422</v>
      </c>
      <c r="F800" t="s">
        <v>109</v>
      </c>
      <c r="G800" s="14">
        <v>57436</v>
      </c>
      <c r="H800">
        <v>1435</v>
      </c>
      <c r="I800">
        <v>40.03</v>
      </c>
      <c r="J800">
        <v>69497.56</v>
      </c>
    </row>
    <row r="801" spans="1:10" x14ac:dyDescent="0.25">
      <c r="A801" t="s">
        <v>275</v>
      </c>
      <c r="B801" t="s">
        <v>88</v>
      </c>
      <c r="C801" s="1">
        <v>46083</v>
      </c>
      <c r="D801" t="s">
        <v>1584</v>
      </c>
      <c r="E801" t="s">
        <v>90</v>
      </c>
      <c r="F801" t="s">
        <v>91</v>
      </c>
      <c r="G801" s="14">
        <v>585795.21</v>
      </c>
      <c r="H801">
        <v>1415</v>
      </c>
      <c r="I801">
        <v>413.99</v>
      </c>
      <c r="J801">
        <v>708812.2</v>
      </c>
    </row>
    <row r="802" spans="1:10" x14ac:dyDescent="0.25">
      <c r="A802" t="s">
        <v>275</v>
      </c>
      <c r="B802" t="s">
        <v>88</v>
      </c>
      <c r="C802" s="1">
        <v>46083</v>
      </c>
      <c r="D802" t="s">
        <v>1584</v>
      </c>
      <c r="E802" t="s">
        <v>92</v>
      </c>
      <c r="F802" t="s">
        <v>91</v>
      </c>
      <c r="G802" s="14">
        <v>112041.18</v>
      </c>
      <c r="H802">
        <v>1415</v>
      </c>
      <c r="I802">
        <v>79.180000000000007</v>
      </c>
      <c r="J802">
        <v>112041.18</v>
      </c>
    </row>
    <row r="803" spans="1:10" x14ac:dyDescent="0.25">
      <c r="A803" t="s">
        <v>364</v>
      </c>
      <c r="B803" t="s">
        <v>88</v>
      </c>
      <c r="C803" s="1">
        <v>46083</v>
      </c>
      <c r="D803" t="s">
        <v>1630</v>
      </c>
      <c r="E803" t="s">
        <v>102</v>
      </c>
      <c r="F803" t="s">
        <v>109</v>
      </c>
      <c r="G803" s="14">
        <v>16500</v>
      </c>
      <c r="H803">
        <v>1415</v>
      </c>
      <c r="I803">
        <v>11.66</v>
      </c>
      <c r="J803">
        <v>16500</v>
      </c>
    </row>
    <row r="804" spans="1:10" x14ac:dyDescent="0.25">
      <c r="A804" t="s">
        <v>383</v>
      </c>
      <c r="B804" t="s">
        <v>88</v>
      </c>
      <c r="C804" s="1">
        <v>46083</v>
      </c>
      <c r="D804" t="s">
        <v>1641</v>
      </c>
      <c r="E804" t="s">
        <v>136</v>
      </c>
      <c r="F804" t="s">
        <v>135</v>
      </c>
      <c r="G804" s="14">
        <v>128671.72</v>
      </c>
      <c r="H804">
        <v>1415</v>
      </c>
      <c r="I804">
        <v>90.93</v>
      </c>
      <c r="J804">
        <v>155692.78</v>
      </c>
    </row>
    <row r="805" spans="1:10" x14ac:dyDescent="0.25">
      <c r="A805" t="s">
        <v>1706</v>
      </c>
      <c r="B805" t="s">
        <v>88</v>
      </c>
      <c r="C805" s="1">
        <v>46083</v>
      </c>
      <c r="D805" t="s">
        <v>1707</v>
      </c>
      <c r="E805" t="s">
        <v>1708</v>
      </c>
      <c r="F805" t="s">
        <v>109</v>
      </c>
      <c r="G805" s="14">
        <v>216236.58</v>
      </c>
      <c r="H805">
        <v>1415</v>
      </c>
      <c r="I805">
        <v>152.82</v>
      </c>
      <c r="J805">
        <v>261646.26</v>
      </c>
    </row>
    <row r="806" spans="1:10" x14ac:dyDescent="0.25">
      <c r="A806" t="s">
        <v>478</v>
      </c>
      <c r="B806" t="s">
        <v>88</v>
      </c>
      <c r="C806" s="1">
        <v>46083</v>
      </c>
      <c r="D806" t="s">
        <v>1727</v>
      </c>
      <c r="E806" t="s">
        <v>267</v>
      </c>
      <c r="F806" t="s">
        <v>109</v>
      </c>
      <c r="G806" s="14">
        <v>22715.7</v>
      </c>
      <c r="H806">
        <v>1415</v>
      </c>
      <c r="I806">
        <v>16.05</v>
      </c>
      <c r="J806">
        <v>27486</v>
      </c>
    </row>
    <row r="807" spans="1:10" x14ac:dyDescent="0.25">
      <c r="A807" t="s">
        <v>490</v>
      </c>
      <c r="B807" t="s">
        <v>96</v>
      </c>
      <c r="C807" s="1">
        <v>46083</v>
      </c>
      <c r="D807" t="s">
        <v>1738</v>
      </c>
      <c r="E807" t="s">
        <v>84</v>
      </c>
      <c r="F807" t="s">
        <v>9</v>
      </c>
      <c r="G807" s="14">
        <v>1327.62</v>
      </c>
      <c r="H807">
        <v>1415</v>
      </c>
      <c r="I807">
        <v>0.94</v>
      </c>
      <c r="J807">
        <v>1327.62</v>
      </c>
    </row>
    <row r="808" spans="1:10" x14ac:dyDescent="0.25">
      <c r="A808" t="s">
        <v>490</v>
      </c>
      <c r="B808" t="s">
        <v>96</v>
      </c>
      <c r="C808" s="1">
        <v>46083</v>
      </c>
      <c r="D808" t="s">
        <v>1739</v>
      </c>
      <c r="E808" t="s">
        <v>84</v>
      </c>
      <c r="F808" t="s">
        <v>855</v>
      </c>
      <c r="G808" s="14">
        <v>10893.21</v>
      </c>
      <c r="H808">
        <v>1415</v>
      </c>
      <c r="I808">
        <v>7.7</v>
      </c>
      <c r="J808">
        <v>10893.21</v>
      </c>
    </row>
    <row r="809" spans="1:10" x14ac:dyDescent="0.25">
      <c r="A809" t="s">
        <v>246</v>
      </c>
      <c r="B809" t="s">
        <v>88</v>
      </c>
      <c r="C809" s="1">
        <v>46081</v>
      </c>
      <c r="D809" t="s">
        <v>1570</v>
      </c>
      <c r="E809" t="s">
        <v>114</v>
      </c>
      <c r="F809" t="s">
        <v>117</v>
      </c>
      <c r="G809" s="14">
        <v>14559.78</v>
      </c>
      <c r="H809">
        <v>1420</v>
      </c>
      <c r="I809">
        <v>10.25</v>
      </c>
      <c r="J809">
        <v>17617.32</v>
      </c>
    </row>
    <row r="810" spans="1:10" x14ac:dyDescent="0.25">
      <c r="A810" t="s">
        <v>246</v>
      </c>
      <c r="B810" t="s">
        <v>88</v>
      </c>
      <c r="C810" s="1">
        <v>46081</v>
      </c>
      <c r="D810" t="s">
        <v>1571</v>
      </c>
      <c r="E810" t="s">
        <v>114</v>
      </c>
      <c r="F810" t="s">
        <v>117</v>
      </c>
      <c r="G810" s="14">
        <v>1039.98</v>
      </c>
      <c r="H810">
        <v>1420</v>
      </c>
      <c r="I810">
        <v>0.73</v>
      </c>
      <c r="J810">
        <v>1258.3800000000001</v>
      </c>
    </row>
    <row r="811" spans="1:10" x14ac:dyDescent="0.25">
      <c r="A811" t="s">
        <v>349</v>
      </c>
      <c r="B811" t="s">
        <v>88</v>
      </c>
      <c r="C811" s="1">
        <v>46081</v>
      </c>
      <c r="D811" t="s">
        <v>1622</v>
      </c>
      <c r="E811" t="s">
        <v>102</v>
      </c>
      <c r="F811" t="s">
        <v>109</v>
      </c>
      <c r="G811" s="14">
        <v>226461</v>
      </c>
      <c r="H811">
        <v>1420</v>
      </c>
      <c r="I811">
        <v>159.47999999999999</v>
      </c>
      <c r="J811">
        <v>226461</v>
      </c>
    </row>
    <row r="812" spans="1:10" x14ac:dyDescent="0.25">
      <c r="A812" t="s">
        <v>400</v>
      </c>
      <c r="B812" t="s">
        <v>88</v>
      </c>
      <c r="C812" s="1">
        <v>46081</v>
      </c>
      <c r="D812" t="s">
        <v>1660</v>
      </c>
      <c r="E812" t="s">
        <v>184</v>
      </c>
      <c r="F812" t="s">
        <v>31</v>
      </c>
      <c r="G812" s="14">
        <v>91470.75</v>
      </c>
      <c r="H812">
        <v>1420</v>
      </c>
      <c r="I812">
        <v>64.42</v>
      </c>
      <c r="J812">
        <v>110679.61</v>
      </c>
    </row>
    <row r="813" spans="1:10" x14ac:dyDescent="0.25">
      <c r="A813" t="s">
        <v>81</v>
      </c>
      <c r="B813" t="s">
        <v>208</v>
      </c>
      <c r="C813" s="1">
        <v>46080</v>
      </c>
      <c r="D813" t="s">
        <v>1516</v>
      </c>
      <c r="E813" t="s">
        <v>84</v>
      </c>
      <c r="F813" t="s">
        <v>31</v>
      </c>
      <c r="G813" s="14">
        <v>7043843.8399999999</v>
      </c>
      <c r="H813">
        <v>1420</v>
      </c>
      <c r="I813">
        <v>4960.45</v>
      </c>
      <c r="J813">
        <v>7043843.8399999999</v>
      </c>
    </row>
    <row r="814" spans="1:10" x14ac:dyDescent="0.25">
      <c r="A814" t="s">
        <v>81</v>
      </c>
      <c r="B814" t="s">
        <v>208</v>
      </c>
      <c r="C814" s="1">
        <v>46080</v>
      </c>
      <c r="D814" t="s">
        <v>1516</v>
      </c>
      <c r="E814" t="s">
        <v>570</v>
      </c>
      <c r="G814" s="14">
        <v>0</v>
      </c>
      <c r="H814">
        <v>1420</v>
      </c>
      <c r="I814">
        <v>0</v>
      </c>
      <c r="J814">
        <v>8541786.8800000008</v>
      </c>
    </row>
    <row r="815" spans="1:10" x14ac:dyDescent="0.25">
      <c r="A815" t="s">
        <v>346</v>
      </c>
      <c r="B815" t="s">
        <v>88</v>
      </c>
      <c r="C815" s="1">
        <v>46080</v>
      </c>
      <c r="D815" t="s">
        <v>1621</v>
      </c>
      <c r="E815" t="s">
        <v>90</v>
      </c>
      <c r="F815" t="s">
        <v>91</v>
      </c>
      <c r="G815" s="14">
        <v>36399.730000000003</v>
      </c>
      <c r="H815">
        <v>1420</v>
      </c>
      <c r="I815">
        <v>25.63</v>
      </c>
      <c r="J815">
        <v>44043.68</v>
      </c>
    </row>
    <row r="816" spans="1:10" x14ac:dyDescent="0.25">
      <c r="A816" t="s">
        <v>346</v>
      </c>
      <c r="B816" t="s">
        <v>88</v>
      </c>
      <c r="C816" s="1">
        <v>46080</v>
      </c>
      <c r="D816" t="s">
        <v>1621</v>
      </c>
      <c r="E816" t="s">
        <v>92</v>
      </c>
      <c r="F816" t="s">
        <v>91</v>
      </c>
      <c r="G816" s="14">
        <v>5957.09</v>
      </c>
      <c r="H816">
        <v>1420</v>
      </c>
      <c r="I816">
        <v>4.2</v>
      </c>
      <c r="J816">
        <v>5957.09</v>
      </c>
    </row>
    <row r="817" spans="1:10" x14ac:dyDescent="0.25">
      <c r="A817" t="s">
        <v>1634</v>
      </c>
      <c r="B817" t="s">
        <v>88</v>
      </c>
      <c r="C817" s="1">
        <v>46080</v>
      </c>
      <c r="D817" t="s">
        <v>1635</v>
      </c>
      <c r="E817" t="s">
        <v>329</v>
      </c>
      <c r="F817" t="s">
        <v>31</v>
      </c>
      <c r="G817" s="14">
        <v>60918246.399999999</v>
      </c>
      <c r="H817">
        <v>1420</v>
      </c>
      <c r="I817">
        <v>42900.17</v>
      </c>
      <c r="J817">
        <v>60918246.399999999</v>
      </c>
    </row>
    <row r="818" spans="1:10" x14ac:dyDescent="0.25">
      <c r="A818" t="s">
        <v>1634</v>
      </c>
      <c r="B818" t="s">
        <v>96</v>
      </c>
      <c r="C818" s="1">
        <v>46080</v>
      </c>
      <c r="D818" t="s">
        <v>1636</v>
      </c>
      <c r="E818" t="s">
        <v>329</v>
      </c>
      <c r="F818" t="s">
        <v>31</v>
      </c>
      <c r="G818" s="14">
        <v>2442880</v>
      </c>
      <c r="H818">
        <v>1420</v>
      </c>
      <c r="I818">
        <v>1720.34</v>
      </c>
      <c r="J818">
        <v>2442880</v>
      </c>
    </row>
    <row r="819" spans="1:10" x14ac:dyDescent="0.25">
      <c r="A819" t="s">
        <v>483</v>
      </c>
      <c r="B819" t="s">
        <v>88</v>
      </c>
      <c r="C819" s="1">
        <v>46080</v>
      </c>
      <c r="D819" t="s">
        <v>1729</v>
      </c>
      <c r="E819" t="s">
        <v>136</v>
      </c>
      <c r="F819" t="s">
        <v>135</v>
      </c>
      <c r="G819" s="14">
        <v>103114</v>
      </c>
      <c r="H819">
        <v>1420</v>
      </c>
      <c r="I819">
        <v>72.62</v>
      </c>
      <c r="J819">
        <v>124767.94</v>
      </c>
    </row>
    <row r="820" spans="1:10" x14ac:dyDescent="0.25">
      <c r="A820" t="s">
        <v>521</v>
      </c>
      <c r="B820" t="s">
        <v>88</v>
      </c>
      <c r="C820" s="1">
        <v>46080</v>
      </c>
      <c r="D820" t="s">
        <v>1775</v>
      </c>
      <c r="E820" t="s">
        <v>136</v>
      </c>
      <c r="F820" t="s">
        <v>135</v>
      </c>
      <c r="G820" s="14">
        <v>12860</v>
      </c>
      <c r="H820">
        <v>1420</v>
      </c>
      <c r="I820">
        <v>9.06</v>
      </c>
      <c r="J820">
        <v>15560.6</v>
      </c>
    </row>
    <row r="821" spans="1:10" x14ac:dyDescent="0.25">
      <c r="A821" t="s">
        <v>1793</v>
      </c>
      <c r="B821" t="s">
        <v>88</v>
      </c>
      <c r="C821" s="1">
        <v>46080</v>
      </c>
      <c r="D821" t="s">
        <v>1794</v>
      </c>
      <c r="E821" t="s">
        <v>329</v>
      </c>
      <c r="F821" t="s">
        <v>31</v>
      </c>
      <c r="G821" s="14">
        <v>3069335.8</v>
      </c>
      <c r="H821">
        <v>1420</v>
      </c>
      <c r="I821">
        <v>2161.5</v>
      </c>
      <c r="J821">
        <v>3069335.8</v>
      </c>
    </row>
    <row r="822" spans="1:10" x14ac:dyDescent="0.25">
      <c r="A822" t="s">
        <v>561</v>
      </c>
      <c r="B822" t="s">
        <v>88</v>
      </c>
      <c r="C822" s="1">
        <v>46080</v>
      </c>
      <c r="D822" t="s">
        <v>1803</v>
      </c>
      <c r="E822" t="s">
        <v>90</v>
      </c>
      <c r="F822" t="s">
        <v>91</v>
      </c>
      <c r="G822" s="14">
        <v>8723.11</v>
      </c>
      <c r="H822">
        <v>1420</v>
      </c>
      <c r="I822">
        <v>6.14</v>
      </c>
      <c r="J822">
        <v>10554.96</v>
      </c>
    </row>
    <row r="823" spans="1:10" x14ac:dyDescent="0.25">
      <c r="A823" t="s">
        <v>561</v>
      </c>
      <c r="B823" t="s">
        <v>88</v>
      </c>
      <c r="C823" s="1">
        <v>46080</v>
      </c>
      <c r="D823" t="s">
        <v>1803</v>
      </c>
      <c r="E823" t="s">
        <v>92</v>
      </c>
      <c r="F823" t="s">
        <v>91</v>
      </c>
      <c r="G823" s="14">
        <v>45.04</v>
      </c>
      <c r="H823">
        <v>1420</v>
      </c>
      <c r="I823">
        <v>0.03</v>
      </c>
      <c r="J823">
        <v>45.04</v>
      </c>
    </row>
    <row r="824" spans="1:10" x14ac:dyDescent="0.25">
      <c r="A824" t="s">
        <v>1525</v>
      </c>
      <c r="B824" t="s">
        <v>88</v>
      </c>
      <c r="C824" s="1">
        <v>46079</v>
      </c>
      <c r="D824" t="s">
        <v>1526</v>
      </c>
      <c r="E824" t="s">
        <v>136</v>
      </c>
      <c r="F824" t="s">
        <v>31</v>
      </c>
      <c r="G824" s="14">
        <v>15297533.380000001</v>
      </c>
      <c r="H824">
        <v>1425</v>
      </c>
      <c r="I824">
        <v>10735.11</v>
      </c>
      <c r="J824">
        <v>18510015.109999999</v>
      </c>
    </row>
    <row r="825" spans="1:10" x14ac:dyDescent="0.25">
      <c r="A825" t="s">
        <v>1525</v>
      </c>
      <c r="B825" t="s">
        <v>279</v>
      </c>
      <c r="C825" s="1">
        <v>46079</v>
      </c>
      <c r="D825" t="s">
        <v>1527</v>
      </c>
      <c r="E825" t="s">
        <v>136</v>
      </c>
      <c r="F825" t="s">
        <v>31</v>
      </c>
      <c r="G825" s="14">
        <v>-15297533.380000001</v>
      </c>
      <c r="H825">
        <v>1425</v>
      </c>
      <c r="I825">
        <v>-10735.11</v>
      </c>
      <c r="J825">
        <v>-18510015.109999999</v>
      </c>
    </row>
    <row r="826" spans="1:10" x14ac:dyDescent="0.25">
      <c r="A826" t="s">
        <v>132</v>
      </c>
      <c r="B826" t="s">
        <v>88</v>
      </c>
      <c r="C826" s="1">
        <v>46079</v>
      </c>
      <c r="D826" t="s">
        <v>1531</v>
      </c>
      <c r="E826" t="s">
        <v>136</v>
      </c>
      <c r="F826" t="s">
        <v>135</v>
      </c>
      <c r="G826" s="14">
        <v>5260.61</v>
      </c>
      <c r="H826">
        <v>1425</v>
      </c>
      <c r="I826">
        <v>3.69</v>
      </c>
      <c r="J826">
        <v>6365.34</v>
      </c>
    </row>
    <row r="827" spans="1:10" x14ac:dyDescent="0.25">
      <c r="A827" t="s">
        <v>497</v>
      </c>
      <c r="B827" t="s">
        <v>88</v>
      </c>
      <c r="C827" s="1">
        <v>46079</v>
      </c>
      <c r="D827" t="s">
        <v>1742</v>
      </c>
      <c r="E827" t="s">
        <v>136</v>
      </c>
      <c r="F827" t="s">
        <v>33</v>
      </c>
      <c r="G827" s="14">
        <v>92900.99</v>
      </c>
      <c r="H827">
        <v>1425</v>
      </c>
      <c r="I827">
        <v>65.19</v>
      </c>
      <c r="J827">
        <v>112410.2</v>
      </c>
    </row>
    <row r="828" spans="1:10" x14ac:dyDescent="0.25">
      <c r="A828" t="s">
        <v>510</v>
      </c>
      <c r="B828" t="s">
        <v>96</v>
      </c>
      <c r="C828" s="1">
        <v>46079</v>
      </c>
      <c r="D828" t="s">
        <v>1764</v>
      </c>
      <c r="E828" t="s">
        <v>127</v>
      </c>
      <c r="F828" t="s">
        <v>117</v>
      </c>
      <c r="G828" s="14">
        <v>90.98</v>
      </c>
      <c r="H828">
        <v>1425</v>
      </c>
      <c r="I828">
        <v>0.06</v>
      </c>
      <c r="J828">
        <v>90.98</v>
      </c>
    </row>
    <row r="829" spans="1:10" x14ac:dyDescent="0.25">
      <c r="A829" t="s">
        <v>510</v>
      </c>
      <c r="B829" t="s">
        <v>96</v>
      </c>
      <c r="C829" s="1">
        <v>46079</v>
      </c>
      <c r="D829" t="s">
        <v>1765</v>
      </c>
      <c r="E829" t="s">
        <v>127</v>
      </c>
      <c r="F829" t="s">
        <v>117</v>
      </c>
      <c r="G829" s="14">
        <v>181.96</v>
      </c>
      <c r="H829">
        <v>1425</v>
      </c>
      <c r="I829">
        <v>0.13</v>
      </c>
      <c r="J829">
        <v>181.96</v>
      </c>
    </row>
    <row r="830" spans="1:10" x14ac:dyDescent="0.25">
      <c r="A830" t="s">
        <v>527</v>
      </c>
      <c r="B830" t="s">
        <v>88</v>
      </c>
      <c r="C830" s="1">
        <v>46079</v>
      </c>
      <c r="D830" t="s">
        <v>1779</v>
      </c>
      <c r="E830" t="s">
        <v>297</v>
      </c>
      <c r="F830" t="s">
        <v>31</v>
      </c>
      <c r="G830" s="14">
        <v>217354.95</v>
      </c>
      <c r="H830">
        <v>1425</v>
      </c>
      <c r="I830">
        <v>152.53</v>
      </c>
      <c r="J830">
        <v>262999.49</v>
      </c>
    </row>
    <row r="831" spans="1:10" x14ac:dyDescent="0.25">
      <c r="A831" t="s">
        <v>527</v>
      </c>
      <c r="B831" t="s">
        <v>88</v>
      </c>
      <c r="C831" s="1">
        <v>46079</v>
      </c>
      <c r="D831" t="s">
        <v>1779</v>
      </c>
      <c r="E831" t="s">
        <v>529</v>
      </c>
      <c r="F831" t="s">
        <v>31</v>
      </c>
      <c r="G831" s="14">
        <v>348750</v>
      </c>
      <c r="H831">
        <v>1425</v>
      </c>
      <c r="I831">
        <v>244.74</v>
      </c>
      <c r="J831">
        <v>421987.35</v>
      </c>
    </row>
    <row r="832" spans="1:10" x14ac:dyDescent="0.25">
      <c r="A832" t="s">
        <v>527</v>
      </c>
      <c r="B832" t="s">
        <v>470</v>
      </c>
      <c r="C832" s="1">
        <v>46079</v>
      </c>
      <c r="D832" t="s">
        <v>1780</v>
      </c>
      <c r="E832" t="s">
        <v>297</v>
      </c>
      <c r="F832" t="s">
        <v>31</v>
      </c>
      <c r="G832" s="14">
        <v>615.37</v>
      </c>
      <c r="H832">
        <v>1425</v>
      </c>
      <c r="I832">
        <v>0.43</v>
      </c>
      <c r="J832">
        <v>744.6</v>
      </c>
    </row>
    <row r="833" spans="1:10" x14ac:dyDescent="0.25">
      <c r="A833" t="s">
        <v>527</v>
      </c>
      <c r="B833" t="s">
        <v>470</v>
      </c>
      <c r="C833" s="1">
        <v>46079</v>
      </c>
      <c r="D833" t="s">
        <v>1780</v>
      </c>
      <c r="E833" t="s">
        <v>84</v>
      </c>
      <c r="F833" t="s">
        <v>31</v>
      </c>
      <c r="G833" s="14">
        <v>51280.83</v>
      </c>
      <c r="H833">
        <v>1425</v>
      </c>
      <c r="I833">
        <v>35.99</v>
      </c>
      <c r="J833">
        <v>51280.83</v>
      </c>
    </row>
    <row r="834" spans="1:10" x14ac:dyDescent="0.25">
      <c r="A834" t="s">
        <v>161</v>
      </c>
      <c r="B834" t="s">
        <v>88</v>
      </c>
      <c r="C834" s="1">
        <v>46078</v>
      </c>
      <c r="D834" t="s">
        <v>1543</v>
      </c>
      <c r="E834" t="s">
        <v>136</v>
      </c>
      <c r="F834" t="s">
        <v>135</v>
      </c>
      <c r="G834" s="14">
        <v>267120</v>
      </c>
      <c r="H834">
        <v>1415</v>
      </c>
      <c r="I834">
        <v>188.78</v>
      </c>
      <c r="J834">
        <v>323218</v>
      </c>
    </row>
    <row r="835" spans="1:10" x14ac:dyDescent="0.25">
      <c r="A835" t="s">
        <v>161</v>
      </c>
      <c r="B835" t="s">
        <v>88</v>
      </c>
      <c r="C835" s="1">
        <v>46078</v>
      </c>
      <c r="D835" t="s">
        <v>1544</v>
      </c>
      <c r="E835" t="s">
        <v>136</v>
      </c>
      <c r="F835" t="s">
        <v>17</v>
      </c>
      <c r="G835" s="14">
        <v>177086</v>
      </c>
      <c r="H835">
        <v>1415</v>
      </c>
      <c r="I835">
        <v>125.15</v>
      </c>
      <c r="J835">
        <v>214270</v>
      </c>
    </row>
    <row r="836" spans="1:10" x14ac:dyDescent="0.25">
      <c r="A836" t="s">
        <v>515</v>
      </c>
      <c r="B836" t="s">
        <v>88</v>
      </c>
      <c r="C836" s="1">
        <v>46077</v>
      </c>
      <c r="D836" t="s">
        <v>1774</v>
      </c>
      <c r="E836" t="s">
        <v>184</v>
      </c>
      <c r="F836" t="s">
        <v>31</v>
      </c>
      <c r="G836" s="14">
        <v>51153</v>
      </c>
      <c r="H836">
        <v>1400</v>
      </c>
      <c r="I836">
        <v>36.54</v>
      </c>
      <c r="J836">
        <v>61895.13</v>
      </c>
    </row>
    <row r="837" spans="1:10" x14ac:dyDescent="0.25">
      <c r="A837" t="s">
        <v>561</v>
      </c>
      <c r="B837" t="s">
        <v>88</v>
      </c>
      <c r="C837" s="1">
        <v>46077</v>
      </c>
      <c r="D837" t="s">
        <v>1802</v>
      </c>
      <c r="E837" t="s">
        <v>90</v>
      </c>
      <c r="F837" t="s">
        <v>91</v>
      </c>
      <c r="G837" s="14">
        <v>98671.51</v>
      </c>
      <c r="H837">
        <v>1400</v>
      </c>
      <c r="I837">
        <v>70.48</v>
      </c>
      <c r="J837">
        <v>119392.54</v>
      </c>
    </row>
    <row r="838" spans="1:10" x14ac:dyDescent="0.25">
      <c r="A838" t="s">
        <v>561</v>
      </c>
      <c r="B838" t="s">
        <v>88</v>
      </c>
      <c r="C838" s="1">
        <v>46077</v>
      </c>
      <c r="D838" t="s">
        <v>1802</v>
      </c>
      <c r="E838" t="s">
        <v>92</v>
      </c>
      <c r="F838" t="s">
        <v>91</v>
      </c>
      <c r="G838" s="14">
        <v>16619.46</v>
      </c>
      <c r="H838">
        <v>1400</v>
      </c>
      <c r="I838">
        <v>11.87</v>
      </c>
      <c r="J838">
        <v>16619.46</v>
      </c>
    </row>
    <row r="839" spans="1:10" x14ac:dyDescent="0.25">
      <c r="A839" t="s">
        <v>132</v>
      </c>
      <c r="B839" t="s">
        <v>88</v>
      </c>
      <c r="C839" s="1">
        <v>46076</v>
      </c>
      <c r="D839" t="s">
        <v>1530</v>
      </c>
      <c r="E839" t="s">
        <v>136</v>
      </c>
      <c r="F839" t="s">
        <v>135</v>
      </c>
      <c r="G839" s="14">
        <v>6000.21</v>
      </c>
      <c r="H839">
        <v>1390</v>
      </c>
      <c r="I839">
        <v>4.32</v>
      </c>
      <c r="J839">
        <v>7260.25</v>
      </c>
    </row>
    <row r="840" spans="1:10" x14ac:dyDescent="0.25">
      <c r="A840" t="s">
        <v>1632</v>
      </c>
      <c r="B840" t="s">
        <v>88</v>
      </c>
      <c r="C840" s="1">
        <v>46076</v>
      </c>
      <c r="D840" t="s">
        <v>1633</v>
      </c>
      <c r="E840" t="s">
        <v>136</v>
      </c>
      <c r="F840" t="s">
        <v>31</v>
      </c>
      <c r="G840" s="14">
        <v>2217594.87</v>
      </c>
      <c r="H840">
        <v>1390</v>
      </c>
      <c r="I840">
        <v>1595.39</v>
      </c>
      <c r="J840">
        <v>2683289.7999999998</v>
      </c>
    </row>
    <row r="841" spans="1:10" x14ac:dyDescent="0.25">
      <c r="A841" t="s">
        <v>400</v>
      </c>
      <c r="B841" t="s">
        <v>88</v>
      </c>
      <c r="C841" s="1">
        <v>46076</v>
      </c>
      <c r="D841" t="s">
        <v>1656</v>
      </c>
      <c r="E841" t="s">
        <v>184</v>
      </c>
      <c r="F841" t="s">
        <v>855</v>
      </c>
      <c r="G841" s="14">
        <v>9445.86</v>
      </c>
      <c r="H841">
        <v>1390</v>
      </c>
      <c r="I841">
        <v>6.8</v>
      </c>
      <c r="J841">
        <v>11429.49</v>
      </c>
    </row>
    <row r="842" spans="1:10" x14ac:dyDescent="0.25">
      <c r="A842" t="s">
        <v>400</v>
      </c>
      <c r="B842" t="s">
        <v>88</v>
      </c>
      <c r="C842" s="1">
        <v>46076</v>
      </c>
      <c r="D842" t="s">
        <v>1657</v>
      </c>
      <c r="E842" t="s">
        <v>184</v>
      </c>
      <c r="F842" t="s">
        <v>188</v>
      </c>
      <c r="G842" s="14">
        <v>67771</v>
      </c>
      <c r="H842">
        <v>1390</v>
      </c>
      <c r="I842">
        <v>48.76</v>
      </c>
      <c r="J842">
        <v>82002.91</v>
      </c>
    </row>
    <row r="843" spans="1:10" x14ac:dyDescent="0.25">
      <c r="A843" t="s">
        <v>473</v>
      </c>
      <c r="B843" t="s">
        <v>88</v>
      </c>
      <c r="C843" s="1">
        <v>46076</v>
      </c>
      <c r="D843" t="s">
        <v>1723</v>
      </c>
      <c r="E843" t="s">
        <v>152</v>
      </c>
      <c r="F843" t="s">
        <v>475</v>
      </c>
      <c r="G843" s="14">
        <v>166808.38</v>
      </c>
      <c r="H843">
        <v>1390</v>
      </c>
      <c r="I843">
        <v>120.01</v>
      </c>
      <c r="J843">
        <v>201838.14</v>
      </c>
    </row>
    <row r="844" spans="1:10" x14ac:dyDescent="0.25">
      <c r="A844" t="s">
        <v>473</v>
      </c>
      <c r="B844" t="s">
        <v>88</v>
      </c>
      <c r="C844" s="1">
        <v>46076</v>
      </c>
      <c r="D844" t="s">
        <v>1723</v>
      </c>
      <c r="E844" t="s">
        <v>153</v>
      </c>
      <c r="F844" t="s">
        <v>475</v>
      </c>
      <c r="G844" s="14">
        <v>6195.95</v>
      </c>
      <c r="H844">
        <v>1390</v>
      </c>
      <c r="I844">
        <v>4.46</v>
      </c>
      <c r="J844">
        <v>6195.95</v>
      </c>
    </row>
    <row r="845" spans="1:10" x14ac:dyDescent="0.25">
      <c r="A845" t="s">
        <v>1732</v>
      </c>
      <c r="B845" t="s">
        <v>88</v>
      </c>
      <c r="C845" s="1">
        <v>46076</v>
      </c>
      <c r="D845" t="s">
        <v>1733</v>
      </c>
      <c r="E845" t="s">
        <v>329</v>
      </c>
      <c r="F845" t="s">
        <v>855</v>
      </c>
      <c r="G845" s="14">
        <v>12675855.470000001</v>
      </c>
      <c r="H845">
        <v>1390</v>
      </c>
      <c r="I845">
        <v>9119.32</v>
      </c>
      <c r="J845">
        <v>12675855.470000001</v>
      </c>
    </row>
    <row r="846" spans="1:10" x14ac:dyDescent="0.25">
      <c r="A846" t="s">
        <v>1745</v>
      </c>
      <c r="B846" t="s">
        <v>88</v>
      </c>
      <c r="C846" s="1">
        <v>46076</v>
      </c>
      <c r="D846" t="s">
        <v>1747</v>
      </c>
      <c r="E846" t="s">
        <v>205</v>
      </c>
      <c r="F846" t="s">
        <v>855</v>
      </c>
      <c r="G846" s="14">
        <v>56198.35</v>
      </c>
      <c r="H846">
        <v>1390</v>
      </c>
      <c r="I846">
        <v>40.43</v>
      </c>
      <c r="J846">
        <v>68000</v>
      </c>
    </row>
    <row r="847" spans="1:10" x14ac:dyDescent="0.25">
      <c r="A847" t="s">
        <v>527</v>
      </c>
      <c r="B847" t="s">
        <v>88</v>
      </c>
      <c r="C847" s="1">
        <v>46076</v>
      </c>
      <c r="D847" t="s">
        <v>1778</v>
      </c>
      <c r="E847" t="s">
        <v>184</v>
      </c>
      <c r="F847" t="s">
        <v>31</v>
      </c>
      <c r="G847" s="14">
        <v>2890454.17</v>
      </c>
      <c r="H847">
        <v>1390</v>
      </c>
      <c r="I847">
        <v>2079.46</v>
      </c>
      <c r="J847">
        <v>3497444.37</v>
      </c>
    </row>
    <row r="848" spans="1:10" x14ac:dyDescent="0.25">
      <c r="A848" t="s">
        <v>527</v>
      </c>
      <c r="B848" t="s">
        <v>88</v>
      </c>
      <c r="C848" s="1">
        <v>46076</v>
      </c>
      <c r="D848" t="s">
        <v>1778</v>
      </c>
      <c r="E848" t="s">
        <v>786</v>
      </c>
      <c r="F848" t="s">
        <v>31</v>
      </c>
      <c r="G848" s="14">
        <v>5186147.08</v>
      </c>
      <c r="H848">
        <v>1390</v>
      </c>
      <c r="I848">
        <v>3731.04</v>
      </c>
      <c r="J848">
        <v>5186147.08</v>
      </c>
    </row>
    <row r="849" spans="1:10" x14ac:dyDescent="0.25">
      <c r="A849" t="s">
        <v>182</v>
      </c>
      <c r="B849" t="s">
        <v>88</v>
      </c>
      <c r="C849" s="1">
        <v>46074</v>
      </c>
      <c r="D849" t="s">
        <v>1559</v>
      </c>
      <c r="E849" t="s">
        <v>184</v>
      </c>
      <c r="F849" t="s">
        <v>855</v>
      </c>
      <c r="G849" s="14">
        <v>46711.97</v>
      </c>
      <c r="H849">
        <v>1395</v>
      </c>
      <c r="I849">
        <v>33.49</v>
      </c>
      <c r="J849">
        <v>56521.48</v>
      </c>
    </row>
    <row r="850" spans="1:10" x14ac:dyDescent="0.25">
      <c r="A850" t="s">
        <v>289</v>
      </c>
      <c r="B850" t="s">
        <v>88</v>
      </c>
      <c r="C850" s="1">
        <v>46073</v>
      </c>
      <c r="D850" t="s">
        <v>1593</v>
      </c>
      <c r="E850" t="s">
        <v>138</v>
      </c>
      <c r="F850" t="s">
        <v>139</v>
      </c>
      <c r="G850" s="14">
        <v>114706.8</v>
      </c>
      <c r="H850">
        <v>1395</v>
      </c>
      <c r="I850">
        <v>82.23</v>
      </c>
      <c r="J850">
        <v>138795.23000000001</v>
      </c>
    </row>
    <row r="851" spans="1:10" x14ac:dyDescent="0.25">
      <c r="A851" t="s">
        <v>426</v>
      </c>
      <c r="B851" t="s">
        <v>88</v>
      </c>
      <c r="C851" s="1">
        <v>46073</v>
      </c>
      <c r="D851" t="s">
        <v>1690</v>
      </c>
      <c r="E851" t="s">
        <v>136</v>
      </c>
      <c r="F851" t="s">
        <v>31</v>
      </c>
      <c r="G851" s="14">
        <v>888723.21</v>
      </c>
      <c r="H851">
        <v>1395</v>
      </c>
      <c r="I851">
        <v>637.08000000000004</v>
      </c>
      <c r="J851">
        <v>1075355.08</v>
      </c>
    </row>
    <row r="852" spans="1:10" x14ac:dyDescent="0.25">
      <c r="A852" t="s">
        <v>1320</v>
      </c>
      <c r="B852" t="s">
        <v>88</v>
      </c>
      <c r="C852" s="1">
        <v>46073</v>
      </c>
      <c r="D852" t="s">
        <v>1698</v>
      </c>
      <c r="E852" t="s">
        <v>136</v>
      </c>
      <c r="F852" t="s">
        <v>31</v>
      </c>
      <c r="G852" s="14">
        <v>3162235.2</v>
      </c>
      <c r="H852">
        <v>1395</v>
      </c>
      <c r="I852">
        <v>2266.84</v>
      </c>
      <c r="J852">
        <v>3826302.9</v>
      </c>
    </row>
    <row r="853" spans="1:10" x14ac:dyDescent="0.25">
      <c r="A853" t="s">
        <v>552</v>
      </c>
      <c r="B853" t="s">
        <v>88</v>
      </c>
      <c r="C853" s="1">
        <v>46073</v>
      </c>
      <c r="D853" t="s">
        <v>1787</v>
      </c>
      <c r="E853" t="s">
        <v>136</v>
      </c>
      <c r="F853" t="s">
        <v>855</v>
      </c>
      <c r="G853" s="14">
        <v>1399999.95</v>
      </c>
      <c r="H853">
        <v>1395</v>
      </c>
      <c r="I853">
        <v>1003.58</v>
      </c>
      <c r="J853">
        <v>1693999.94</v>
      </c>
    </row>
    <row r="854" spans="1:10" x14ac:dyDescent="0.25">
      <c r="A854" t="s">
        <v>87</v>
      </c>
      <c r="B854" t="s">
        <v>88</v>
      </c>
      <c r="C854" s="1">
        <v>46072</v>
      </c>
      <c r="D854" t="s">
        <v>1518</v>
      </c>
      <c r="E854" t="s">
        <v>90</v>
      </c>
      <c r="F854" t="s">
        <v>91</v>
      </c>
      <c r="G854" s="14">
        <v>81342.42</v>
      </c>
      <c r="H854">
        <v>1410</v>
      </c>
      <c r="I854">
        <v>57.69</v>
      </c>
      <c r="J854">
        <v>98424.34</v>
      </c>
    </row>
    <row r="855" spans="1:10" x14ac:dyDescent="0.25">
      <c r="A855" t="s">
        <v>87</v>
      </c>
      <c r="B855" t="s">
        <v>88</v>
      </c>
      <c r="C855" s="1">
        <v>46072</v>
      </c>
      <c r="D855" t="s">
        <v>1518</v>
      </c>
      <c r="E855" t="s">
        <v>92</v>
      </c>
      <c r="F855" t="s">
        <v>91</v>
      </c>
      <c r="G855" s="14">
        <v>13784.66</v>
      </c>
      <c r="H855">
        <v>1410</v>
      </c>
      <c r="I855">
        <v>9.7799999999999994</v>
      </c>
      <c r="J855">
        <v>13784.66</v>
      </c>
    </row>
    <row r="856" spans="1:10" x14ac:dyDescent="0.25">
      <c r="A856" t="s">
        <v>295</v>
      </c>
      <c r="B856" t="s">
        <v>88</v>
      </c>
      <c r="C856" s="1">
        <v>46072</v>
      </c>
      <c r="D856" t="s">
        <v>1600</v>
      </c>
      <c r="E856" t="s">
        <v>297</v>
      </c>
      <c r="F856" t="s">
        <v>31</v>
      </c>
      <c r="G856" s="14">
        <v>32280.99</v>
      </c>
      <c r="H856">
        <v>1410</v>
      </c>
      <c r="I856">
        <v>22.89</v>
      </c>
      <c r="J856">
        <v>39060</v>
      </c>
    </row>
    <row r="857" spans="1:10" x14ac:dyDescent="0.25">
      <c r="A857" t="s">
        <v>1645</v>
      </c>
      <c r="B857" t="s">
        <v>96</v>
      </c>
      <c r="C857" s="1">
        <v>46072</v>
      </c>
      <c r="D857" t="s">
        <v>1649</v>
      </c>
      <c r="E857" t="s">
        <v>1647</v>
      </c>
      <c r="F857" t="s">
        <v>85</v>
      </c>
      <c r="G857" s="14">
        <v>89010</v>
      </c>
      <c r="H857">
        <v>1410</v>
      </c>
      <c r="I857">
        <v>63.13</v>
      </c>
      <c r="J857">
        <v>89010</v>
      </c>
    </row>
    <row r="858" spans="1:10" x14ac:dyDescent="0.25">
      <c r="A858" t="s">
        <v>182</v>
      </c>
      <c r="B858" t="s">
        <v>88</v>
      </c>
      <c r="C858" s="1">
        <v>46067</v>
      </c>
      <c r="D858" t="s">
        <v>1558</v>
      </c>
      <c r="E858" t="s">
        <v>184</v>
      </c>
      <c r="F858" t="s">
        <v>31</v>
      </c>
      <c r="G858" s="14">
        <v>13573.34</v>
      </c>
      <c r="H858">
        <v>1420</v>
      </c>
      <c r="I858">
        <v>9.56</v>
      </c>
      <c r="J858">
        <v>16423.740000000002</v>
      </c>
    </row>
    <row r="859" spans="1:10" x14ac:dyDescent="0.25">
      <c r="A859" t="s">
        <v>246</v>
      </c>
      <c r="B859" t="s">
        <v>88</v>
      </c>
      <c r="C859" s="1">
        <v>46067</v>
      </c>
      <c r="D859" t="s">
        <v>1567</v>
      </c>
      <c r="E859" t="s">
        <v>114</v>
      </c>
      <c r="F859" t="s">
        <v>117</v>
      </c>
      <c r="G859" s="14">
        <v>12479.79</v>
      </c>
      <c r="H859">
        <v>1420</v>
      </c>
      <c r="I859">
        <v>8.7899999999999991</v>
      </c>
      <c r="J859">
        <v>15100.56</v>
      </c>
    </row>
    <row r="860" spans="1:10" x14ac:dyDescent="0.25">
      <c r="A860" t="s">
        <v>504</v>
      </c>
      <c r="B860" t="s">
        <v>88</v>
      </c>
      <c r="C860" s="1">
        <v>46067</v>
      </c>
      <c r="D860" t="s">
        <v>1758</v>
      </c>
      <c r="E860" t="s">
        <v>506</v>
      </c>
      <c r="F860" t="s">
        <v>109</v>
      </c>
      <c r="G860" s="14">
        <v>234179.38</v>
      </c>
      <c r="H860">
        <v>1420</v>
      </c>
      <c r="I860">
        <v>164.92</v>
      </c>
      <c r="J860">
        <v>297407.81</v>
      </c>
    </row>
    <row r="861" spans="1:10" x14ac:dyDescent="0.25">
      <c r="A861" t="s">
        <v>504</v>
      </c>
      <c r="B861" t="s">
        <v>88</v>
      </c>
      <c r="C861" s="1">
        <v>46067</v>
      </c>
      <c r="D861" t="s">
        <v>1758</v>
      </c>
      <c r="E861" t="s">
        <v>507</v>
      </c>
      <c r="F861" t="s">
        <v>109</v>
      </c>
      <c r="G861" s="14">
        <v>12325.09</v>
      </c>
      <c r="H861">
        <v>1420</v>
      </c>
      <c r="I861">
        <v>8.68</v>
      </c>
      <c r="J861">
        <v>12325.09</v>
      </c>
    </row>
    <row r="862" spans="1:10" x14ac:dyDescent="0.25">
      <c r="A862" t="s">
        <v>81</v>
      </c>
      <c r="B862" t="s">
        <v>208</v>
      </c>
      <c r="C862" s="1">
        <v>46066</v>
      </c>
      <c r="D862" t="s">
        <v>1515</v>
      </c>
      <c r="E862" t="s">
        <v>84</v>
      </c>
      <c r="F862" t="s">
        <v>31</v>
      </c>
      <c r="G862" s="14">
        <v>3875184.45</v>
      </c>
      <c r="H862">
        <v>1420</v>
      </c>
      <c r="I862">
        <v>2729</v>
      </c>
      <c r="J862">
        <v>3875184.45</v>
      </c>
    </row>
    <row r="863" spans="1:10" x14ac:dyDescent="0.25">
      <c r="A863" t="s">
        <v>81</v>
      </c>
      <c r="B863" t="s">
        <v>208</v>
      </c>
      <c r="C863" s="1">
        <v>46066</v>
      </c>
      <c r="D863" t="s">
        <v>1515</v>
      </c>
      <c r="E863" t="s">
        <v>570</v>
      </c>
      <c r="G863" s="14">
        <v>0</v>
      </c>
      <c r="H863">
        <v>1420</v>
      </c>
      <c r="I863">
        <v>0</v>
      </c>
      <c r="J863">
        <v>8712430.6500000004</v>
      </c>
    </row>
    <row r="864" spans="1:10" x14ac:dyDescent="0.25">
      <c r="A864" t="s">
        <v>132</v>
      </c>
      <c r="B864" t="s">
        <v>88</v>
      </c>
      <c r="C864" s="1">
        <v>46066</v>
      </c>
      <c r="D864" t="s">
        <v>1529</v>
      </c>
      <c r="E864" t="s">
        <v>136</v>
      </c>
      <c r="F864" t="s">
        <v>135</v>
      </c>
      <c r="G864" s="14">
        <v>10223.23</v>
      </c>
      <c r="H864">
        <v>1420</v>
      </c>
      <c r="I864">
        <v>7.2</v>
      </c>
      <c r="J864">
        <v>12370.11</v>
      </c>
    </row>
    <row r="865" spans="1:10" x14ac:dyDescent="0.25">
      <c r="A865" t="s">
        <v>400</v>
      </c>
      <c r="B865" t="s">
        <v>88</v>
      </c>
      <c r="C865" s="1">
        <v>46066</v>
      </c>
      <c r="D865" t="s">
        <v>1654</v>
      </c>
      <c r="E865" t="s">
        <v>184</v>
      </c>
      <c r="F865" t="s">
        <v>855</v>
      </c>
      <c r="G865" s="14">
        <v>73376.28</v>
      </c>
      <c r="H865">
        <v>1420</v>
      </c>
      <c r="I865">
        <v>51.67</v>
      </c>
      <c r="J865">
        <v>88785.3</v>
      </c>
    </row>
    <row r="866" spans="1:10" x14ac:dyDescent="0.25">
      <c r="A866" t="s">
        <v>1664</v>
      </c>
      <c r="B866" t="s">
        <v>88</v>
      </c>
      <c r="C866" s="1">
        <v>46066</v>
      </c>
      <c r="D866" t="s">
        <v>1666</v>
      </c>
      <c r="E866" t="s">
        <v>686</v>
      </c>
      <c r="F866" t="s">
        <v>1212</v>
      </c>
      <c r="G866" s="14">
        <v>20000</v>
      </c>
      <c r="H866">
        <v>1420</v>
      </c>
      <c r="I866">
        <v>14.08</v>
      </c>
      <c r="J866">
        <v>20000</v>
      </c>
    </row>
    <row r="867" spans="1:10" x14ac:dyDescent="0.25">
      <c r="A867" t="s">
        <v>1320</v>
      </c>
      <c r="B867" t="s">
        <v>88</v>
      </c>
      <c r="C867" s="1">
        <v>46066</v>
      </c>
      <c r="D867" t="s">
        <v>1697</v>
      </c>
      <c r="E867" t="s">
        <v>136</v>
      </c>
      <c r="F867" t="s">
        <v>855</v>
      </c>
      <c r="G867" s="14">
        <v>1868479.2</v>
      </c>
      <c r="H867">
        <v>1420</v>
      </c>
      <c r="I867">
        <v>1315.83</v>
      </c>
      <c r="J867">
        <v>2260858.7000000002</v>
      </c>
    </row>
    <row r="868" spans="1:10" x14ac:dyDescent="0.25">
      <c r="A868" t="s">
        <v>453</v>
      </c>
      <c r="B868" t="s">
        <v>88</v>
      </c>
      <c r="C868" s="1">
        <v>46066</v>
      </c>
      <c r="D868" t="s">
        <v>1700</v>
      </c>
      <c r="E868" t="s">
        <v>136</v>
      </c>
      <c r="F868" t="s">
        <v>855</v>
      </c>
      <c r="G868" s="14">
        <v>200715.75</v>
      </c>
      <c r="H868">
        <v>1420</v>
      </c>
      <c r="I868">
        <v>141.35</v>
      </c>
      <c r="J868">
        <v>242866.06</v>
      </c>
    </row>
    <row r="869" spans="1:10" x14ac:dyDescent="0.25">
      <c r="A869" t="s">
        <v>1730</v>
      </c>
      <c r="B869" t="s">
        <v>88</v>
      </c>
      <c r="C869" s="1">
        <v>46066</v>
      </c>
      <c r="D869" t="s">
        <v>1731</v>
      </c>
      <c r="E869" t="s">
        <v>329</v>
      </c>
      <c r="F869" t="s">
        <v>31</v>
      </c>
      <c r="G869" s="14">
        <v>33067735.649999999</v>
      </c>
      <c r="H869">
        <v>1420</v>
      </c>
      <c r="I869">
        <v>23287.14</v>
      </c>
      <c r="J869">
        <v>33067735.649999999</v>
      </c>
    </row>
    <row r="870" spans="1:10" x14ac:dyDescent="0.25">
      <c r="A870" t="s">
        <v>515</v>
      </c>
      <c r="B870" t="s">
        <v>88</v>
      </c>
      <c r="C870" s="1">
        <v>46066</v>
      </c>
      <c r="D870" t="s">
        <v>1770</v>
      </c>
      <c r="E870" t="s">
        <v>184</v>
      </c>
      <c r="F870" t="s">
        <v>855</v>
      </c>
      <c r="G870" s="14">
        <v>15728</v>
      </c>
      <c r="H870">
        <v>1420</v>
      </c>
      <c r="I870">
        <v>11.08</v>
      </c>
      <c r="J870">
        <v>19030.88</v>
      </c>
    </row>
    <row r="871" spans="1:10" x14ac:dyDescent="0.25">
      <c r="A871" t="s">
        <v>1615</v>
      </c>
      <c r="B871" t="s">
        <v>88</v>
      </c>
      <c r="C871" s="1">
        <v>46065</v>
      </c>
      <c r="D871" t="s">
        <v>1616</v>
      </c>
      <c r="E871" t="s">
        <v>136</v>
      </c>
      <c r="F871" t="s">
        <v>17</v>
      </c>
      <c r="G871" s="14">
        <v>14701.54</v>
      </c>
      <c r="H871">
        <v>1415</v>
      </c>
      <c r="I871">
        <v>10.39</v>
      </c>
      <c r="J871">
        <v>17788.86</v>
      </c>
    </row>
    <row r="872" spans="1:10" x14ac:dyDescent="0.25">
      <c r="A872" t="s">
        <v>1615</v>
      </c>
      <c r="B872" t="s">
        <v>96</v>
      </c>
      <c r="C872" s="1">
        <v>46065</v>
      </c>
      <c r="D872" t="s">
        <v>1617</v>
      </c>
      <c r="E872" t="s">
        <v>786</v>
      </c>
      <c r="F872" t="s">
        <v>17</v>
      </c>
      <c r="G872" s="14">
        <v>6443.78</v>
      </c>
      <c r="H872">
        <v>1415</v>
      </c>
      <c r="I872">
        <v>4.55</v>
      </c>
      <c r="J872">
        <v>6443.78</v>
      </c>
    </row>
    <row r="873" spans="1:10" x14ac:dyDescent="0.25">
      <c r="A873" t="s">
        <v>1645</v>
      </c>
      <c r="B873" t="s">
        <v>96</v>
      </c>
      <c r="C873" s="1">
        <v>46065</v>
      </c>
      <c r="D873" t="s">
        <v>1648</v>
      </c>
      <c r="E873" t="s">
        <v>1647</v>
      </c>
      <c r="G873" s="14">
        <v>89272.8</v>
      </c>
      <c r="H873">
        <v>1415</v>
      </c>
      <c r="I873">
        <v>63.09</v>
      </c>
      <c r="J873">
        <v>89272.8</v>
      </c>
    </row>
    <row r="874" spans="1:10" x14ac:dyDescent="0.25">
      <c r="A874" t="s">
        <v>426</v>
      </c>
      <c r="B874" t="s">
        <v>88</v>
      </c>
      <c r="C874" s="1">
        <v>46065</v>
      </c>
      <c r="D874" t="s">
        <v>1686</v>
      </c>
      <c r="E874" t="s">
        <v>136</v>
      </c>
      <c r="F874" t="s">
        <v>855</v>
      </c>
      <c r="G874" s="14">
        <v>353727.9</v>
      </c>
      <c r="H874">
        <v>1415</v>
      </c>
      <c r="I874">
        <v>249.98</v>
      </c>
      <c r="J874">
        <v>428010.76</v>
      </c>
    </row>
    <row r="875" spans="1:10" x14ac:dyDescent="0.25">
      <c r="A875" t="s">
        <v>426</v>
      </c>
      <c r="B875" t="s">
        <v>88</v>
      </c>
      <c r="C875" s="1">
        <v>46065</v>
      </c>
      <c r="D875" t="s">
        <v>1686</v>
      </c>
      <c r="E875" t="s">
        <v>136</v>
      </c>
      <c r="F875" t="s">
        <v>135</v>
      </c>
      <c r="G875" s="14">
        <v>151597.67000000001</v>
      </c>
      <c r="H875">
        <v>1415</v>
      </c>
      <c r="I875">
        <v>107.14</v>
      </c>
      <c r="J875">
        <v>183433.18</v>
      </c>
    </row>
    <row r="876" spans="1:10" x14ac:dyDescent="0.25">
      <c r="A876" t="s">
        <v>561</v>
      </c>
      <c r="B876" t="s">
        <v>88</v>
      </c>
      <c r="C876" s="1">
        <v>46065</v>
      </c>
      <c r="D876" t="s">
        <v>1801</v>
      </c>
      <c r="E876" t="s">
        <v>90</v>
      </c>
      <c r="F876" t="s">
        <v>91</v>
      </c>
      <c r="G876" s="14">
        <v>12311.58</v>
      </c>
      <c r="H876">
        <v>1415</v>
      </c>
      <c r="I876">
        <v>8.6999999999999993</v>
      </c>
      <c r="J876">
        <v>14897.02</v>
      </c>
    </row>
    <row r="877" spans="1:10" x14ac:dyDescent="0.25">
      <c r="A877" t="s">
        <v>561</v>
      </c>
      <c r="B877" t="s">
        <v>88</v>
      </c>
      <c r="C877" s="1">
        <v>46065</v>
      </c>
      <c r="D877" t="s">
        <v>1801</v>
      </c>
      <c r="E877" t="s">
        <v>92</v>
      </c>
      <c r="F877" t="s">
        <v>91</v>
      </c>
      <c r="G877" s="14">
        <v>202.98</v>
      </c>
      <c r="H877">
        <v>1415</v>
      </c>
      <c r="I877">
        <v>0.14000000000000001</v>
      </c>
      <c r="J877">
        <v>202.98</v>
      </c>
    </row>
    <row r="878" spans="1:10" x14ac:dyDescent="0.25">
      <c r="A878" t="s">
        <v>935</v>
      </c>
      <c r="B878" t="s">
        <v>470</v>
      </c>
      <c r="C878" s="1">
        <v>46064</v>
      </c>
      <c r="D878" t="s">
        <v>1514</v>
      </c>
      <c r="E878" t="s">
        <v>944</v>
      </c>
      <c r="F878" t="s">
        <v>945</v>
      </c>
      <c r="G878" s="14">
        <v>11515.11</v>
      </c>
      <c r="H878">
        <v>1420</v>
      </c>
      <c r="I878">
        <v>8.11</v>
      </c>
      <c r="J878">
        <v>13933.28</v>
      </c>
    </row>
    <row r="879" spans="1:10" x14ac:dyDescent="0.25">
      <c r="A879" t="s">
        <v>289</v>
      </c>
      <c r="B879" t="s">
        <v>88</v>
      </c>
      <c r="C879" s="1">
        <v>46064</v>
      </c>
      <c r="D879" t="s">
        <v>1591</v>
      </c>
      <c r="E879" t="s">
        <v>138</v>
      </c>
      <c r="F879" t="s">
        <v>139</v>
      </c>
      <c r="G879" s="14">
        <v>40756</v>
      </c>
      <c r="H879">
        <v>1420</v>
      </c>
      <c r="I879">
        <v>28.7</v>
      </c>
      <c r="J879">
        <v>49314.76</v>
      </c>
    </row>
    <row r="880" spans="1:10" x14ac:dyDescent="0.25">
      <c r="A880" t="s">
        <v>426</v>
      </c>
      <c r="B880" t="s">
        <v>88</v>
      </c>
      <c r="C880" s="1">
        <v>46064</v>
      </c>
      <c r="D880" t="s">
        <v>1684</v>
      </c>
      <c r="E880" t="s">
        <v>136</v>
      </c>
      <c r="F880" t="s">
        <v>33</v>
      </c>
      <c r="G880" s="14">
        <v>82870.080000000002</v>
      </c>
      <c r="H880">
        <v>1420</v>
      </c>
      <c r="I880">
        <v>58.36</v>
      </c>
      <c r="J880">
        <v>100272.8</v>
      </c>
    </row>
    <row r="881" spans="1:10" x14ac:dyDescent="0.25">
      <c r="A881" t="s">
        <v>426</v>
      </c>
      <c r="B881" t="s">
        <v>88</v>
      </c>
      <c r="C881" s="1">
        <v>46064</v>
      </c>
      <c r="D881" t="s">
        <v>1685</v>
      </c>
      <c r="E881" t="s">
        <v>136</v>
      </c>
      <c r="F881" t="s">
        <v>855</v>
      </c>
      <c r="G881" s="14">
        <v>17810.759999999998</v>
      </c>
      <c r="H881">
        <v>1420</v>
      </c>
      <c r="I881">
        <v>12.54</v>
      </c>
      <c r="J881">
        <v>21551.02</v>
      </c>
    </row>
    <row r="882" spans="1:10" x14ac:dyDescent="0.25">
      <c r="A882" t="s">
        <v>466</v>
      </c>
      <c r="B882" t="s">
        <v>88</v>
      </c>
      <c r="C882" s="1">
        <v>46064</v>
      </c>
      <c r="D882" t="s">
        <v>1711</v>
      </c>
      <c r="E882" t="s">
        <v>136</v>
      </c>
      <c r="F882" t="s">
        <v>31</v>
      </c>
      <c r="G882" s="14">
        <v>416147.88</v>
      </c>
      <c r="H882">
        <v>1420</v>
      </c>
      <c r="I882">
        <v>293.06</v>
      </c>
      <c r="J882">
        <v>503544.84</v>
      </c>
    </row>
    <row r="883" spans="1:10" x14ac:dyDescent="0.25">
      <c r="A883" t="s">
        <v>512</v>
      </c>
      <c r="B883" t="s">
        <v>88</v>
      </c>
      <c r="C883" s="1">
        <v>46064</v>
      </c>
      <c r="D883" t="s">
        <v>1768</v>
      </c>
      <c r="E883" t="s">
        <v>136</v>
      </c>
      <c r="F883" t="s">
        <v>135</v>
      </c>
      <c r="G883" s="14">
        <v>222656</v>
      </c>
      <c r="H883">
        <v>1420</v>
      </c>
      <c r="I883">
        <v>156.80000000000001</v>
      </c>
      <c r="J883">
        <v>269413.76000000001</v>
      </c>
    </row>
    <row r="884" spans="1:10" x14ac:dyDescent="0.25">
      <c r="A884" t="s">
        <v>561</v>
      </c>
      <c r="B884" t="s">
        <v>88</v>
      </c>
      <c r="C884" s="1">
        <v>46064</v>
      </c>
      <c r="D884" t="s">
        <v>1799</v>
      </c>
      <c r="E884" t="s">
        <v>90</v>
      </c>
      <c r="F884" t="s">
        <v>91</v>
      </c>
      <c r="G884" s="14">
        <v>4348.12</v>
      </c>
      <c r="H884">
        <v>1420</v>
      </c>
      <c r="I884">
        <v>3.06</v>
      </c>
      <c r="J884">
        <v>5261.24</v>
      </c>
    </row>
    <row r="885" spans="1:10" x14ac:dyDescent="0.25">
      <c r="A885" t="s">
        <v>561</v>
      </c>
      <c r="B885" t="s">
        <v>88</v>
      </c>
      <c r="C885" s="1">
        <v>46064</v>
      </c>
      <c r="D885" t="s">
        <v>1799</v>
      </c>
      <c r="E885" t="s">
        <v>92</v>
      </c>
      <c r="F885" t="s">
        <v>91</v>
      </c>
      <c r="G885" s="14">
        <v>33.76</v>
      </c>
      <c r="H885">
        <v>1420</v>
      </c>
      <c r="I885">
        <v>0.02</v>
      </c>
      <c r="J885">
        <v>33.76</v>
      </c>
    </row>
    <row r="886" spans="1:10" x14ac:dyDescent="0.25">
      <c r="A886" t="s">
        <v>561</v>
      </c>
      <c r="B886" t="s">
        <v>88</v>
      </c>
      <c r="C886" s="1">
        <v>46064</v>
      </c>
      <c r="D886" t="s">
        <v>1800</v>
      </c>
      <c r="E886" t="s">
        <v>90</v>
      </c>
      <c r="F886" t="s">
        <v>91</v>
      </c>
      <c r="G886" s="14">
        <v>106137.79</v>
      </c>
      <c r="H886">
        <v>1420</v>
      </c>
      <c r="I886">
        <v>74.739999999999995</v>
      </c>
      <c r="J886">
        <v>128426.74</v>
      </c>
    </row>
    <row r="887" spans="1:10" x14ac:dyDescent="0.25">
      <c r="A887" t="s">
        <v>561</v>
      </c>
      <c r="B887" t="s">
        <v>88</v>
      </c>
      <c r="C887" s="1">
        <v>46064</v>
      </c>
      <c r="D887" t="s">
        <v>1800</v>
      </c>
      <c r="E887" t="s">
        <v>92</v>
      </c>
      <c r="F887" t="s">
        <v>91</v>
      </c>
      <c r="G887" s="14">
        <v>15579.34</v>
      </c>
      <c r="H887">
        <v>1420</v>
      </c>
      <c r="I887">
        <v>10.97</v>
      </c>
      <c r="J887">
        <v>15579.34</v>
      </c>
    </row>
    <row r="888" spans="1:10" x14ac:dyDescent="0.25">
      <c r="A888" t="s">
        <v>161</v>
      </c>
      <c r="B888" t="s">
        <v>88</v>
      </c>
      <c r="C888" s="1">
        <v>46063</v>
      </c>
      <c r="D888" t="s">
        <v>1540</v>
      </c>
      <c r="E888" t="s">
        <v>134</v>
      </c>
      <c r="F888" t="s">
        <v>17</v>
      </c>
      <c r="G888" s="14">
        <v>10148.57</v>
      </c>
      <c r="H888">
        <v>1425</v>
      </c>
      <c r="I888">
        <v>7.12</v>
      </c>
      <c r="J888">
        <v>11214.17</v>
      </c>
    </row>
    <row r="889" spans="1:10" x14ac:dyDescent="0.25">
      <c r="A889" t="s">
        <v>161</v>
      </c>
      <c r="B889" t="s">
        <v>88</v>
      </c>
      <c r="C889" s="1">
        <v>46063</v>
      </c>
      <c r="D889" t="s">
        <v>1540</v>
      </c>
      <c r="E889" t="s">
        <v>136</v>
      </c>
      <c r="F889" t="s">
        <v>17</v>
      </c>
      <c r="G889" s="14">
        <v>379141.03</v>
      </c>
      <c r="H889">
        <v>1425</v>
      </c>
      <c r="I889">
        <v>266.06</v>
      </c>
      <c r="J889">
        <v>458758.63</v>
      </c>
    </row>
    <row r="890" spans="1:10" x14ac:dyDescent="0.25">
      <c r="A890" t="s">
        <v>426</v>
      </c>
      <c r="B890" t="s">
        <v>88</v>
      </c>
      <c r="C890" s="1">
        <v>46063</v>
      </c>
      <c r="D890" t="s">
        <v>1683</v>
      </c>
      <c r="E890" t="s">
        <v>136</v>
      </c>
      <c r="F890" t="s">
        <v>135</v>
      </c>
      <c r="G890" s="14">
        <v>99080.12</v>
      </c>
      <c r="H890">
        <v>1425</v>
      </c>
      <c r="I890">
        <v>69.53</v>
      </c>
      <c r="J890">
        <v>119886.95</v>
      </c>
    </row>
    <row r="891" spans="1:10" x14ac:dyDescent="0.25">
      <c r="A891" t="s">
        <v>1694</v>
      </c>
      <c r="B891" t="s">
        <v>88</v>
      </c>
      <c r="C891" s="1">
        <v>46063</v>
      </c>
      <c r="D891" t="s">
        <v>1695</v>
      </c>
      <c r="E891" t="s">
        <v>136</v>
      </c>
      <c r="F891" t="s">
        <v>135</v>
      </c>
      <c r="G891" s="14">
        <v>298791</v>
      </c>
      <c r="H891">
        <v>1425</v>
      </c>
      <c r="I891">
        <v>209.68</v>
      </c>
      <c r="J891">
        <v>298791</v>
      </c>
    </row>
    <row r="892" spans="1:10" x14ac:dyDescent="0.25">
      <c r="A892" t="s">
        <v>473</v>
      </c>
      <c r="B892" t="s">
        <v>88</v>
      </c>
      <c r="C892" s="1">
        <v>46062</v>
      </c>
      <c r="D892" t="s">
        <v>1722</v>
      </c>
      <c r="E892" t="s">
        <v>152</v>
      </c>
      <c r="F892" t="s">
        <v>475</v>
      </c>
      <c r="G892" s="14">
        <v>774382.47</v>
      </c>
      <c r="H892">
        <v>1440</v>
      </c>
      <c r="I892">
        <v>537.77</v>
      </c>
      <c r="J892">
        <v>937002.79</v>
      </c>
    </row>
    <row r="893" spans="1:10" x14ac:dyDescent="0.25">
      <c r="A893" t="s">
        <v>473</v>
      </c>
      <c r="B893" t="s">
        <v>88</v>
      </c>
      <c r="C893" s="1">
        <v>46062</v>
      </c>
      <c r="D893" t="s">
        <v>1722</v>
      </c>
      <c r="E893" t="s">
        <v>153</v>
      </c>
      <c r="F893" t="s">
        <v>475</v>
      </c>
      <c r="G893" s="14">
        <v>20273.89</v>
      </c>
      <c r="H893">
        <v>1440</v>
      </c>
      <c r="I893">
        <v>14.08</v>
      </c>
      <c r="J893">
        <v>20273.89</v>
      </c>
    </row>
    <row r="894" spans="1:10" x14ac:dyDescent="0.25">
      <c r="A894" t="s">
        <v>1790</v>
      </c>
      <c r="B894" t="s">
        <v>88</v>
      </c>
      <c r="C894" s="1">
        <v>46062</v>
      </c>
      <c r="D894" t="s">
        <v>1792</v>
      </c>
      <c r="E894" t="s">
        <v>134</v>
      </c>
      <c r="F894" t="s">
        <v>855</v>
      </c>
      <c r="G894" s="14">
        <v>8163081.1200000001</v>
      </c>
      <c r="H894">
        <v>1440</v>
      </c>
      <c r="I894">
        <v>5668.81</v>
      </c>
      <c r="J894">
        <v>9020204.6400000006</v>
      </c>
    </row>
    <row r="895" spans="1:10" x14ac:dyDescent="0.25">
      <c r="A895" t="s">
        <v>87</v>
      </c>
      <c r="B895" t="s">
        <v>88</v>
      </c>
      <c r="C895" s="1">
        <v>46059</v>
      </c>
      <c r="D895" t="s">
        <v>1517</v>
      </c>
      <c r="E895" t="s">
        <v>90</v>
      </c>
      <c r="F895" t="s">
        <v>91</v>
      </c>
      <c r="G895" s="14">
        <v>84556.59</v>
      </c>
      <c r="H895">
        <v>1450</v>
      </c>
      <c r="I895">
        <v>58.31</v>
      </c>
      <c r="J895">
        <v>102313.48</v>
      </c>
    </row>
    <row r="896" spans="1:10" x14ac:dyDescent="0.25">
      <c r="A896" t="s">
        <v>87</v>
      </c>
      <c r="B896" t="s">
        <v>88</v>
      </c>
      <c r="C896" s="1">
        <v>46059</v>
      </c>
      <c r="D896" t="s">
        <v>1517</v>
      </c>
      <c r="E896" t="s">
        <v>92</v>
      </c>
      <c r="F896" t="s">
        <v>91</v>
      </c>
      <c r="G896" s="14">
        <v>14703.6</v>
      </c>
      <c r="H896">
        <v>1450</v>
      </c>
      <c r="I896">
        <v>10.14</v>
      </c>
      <c r="J896">
        <v>14703.6</v>
      </c>
    </row>
    <row r="897" spans="1:10" x14ac:dyDescent="0.25">
      <c r="A897" t="s">
        <v>473</v>
      </c>
      <c r="B897" t="s">
        <v>88</v>
      </c>
      <c r="C897" s="1">
        <v>46059</v>
      </c>
      <c r="D897" t="s">
        <v>1721</v>
      </c>
      <c r="E897" t="s">
        <v>152</v>
      </c>
      <c r="F897" t="s">
        <v>475</v>
      </c>
      <c r="G897" s="14">
        <v>2258876.33</v>
      </c>
      <c r="H897">
        <v>1450</v>
      </c>
      <c r="I897">
        <v>1557.85</v>
      </c>
      <c r="J897">
        <v>2733240.36</v>
      </c>
    </row>
    <row r="898" spans="1:10" x14ac:dyDescent="0.25">
      <c r="A898" t="s">
        <v>473</v>
      </c>
      <c r="B898" t="s">
        <v>88</v>
      </c>
      <c r="C898" s="1">
        <v>46059</v>
      </c>
      <c r="D898" t="s">
        <v>1721</v>
      </c>
      <c r="E898" t="s">
        <v>153</v>
      </c>
      <c r="F898" t="s">
        <v>475</v>
      </c>
      <c r="G898" s="14">
        <v>83903.66</v>
      </c>
      <c r="H898">
        <v>1450</v>
      </c>
      <c r="I898">
        <v>57.86</v>
      </c>
      <c r="J898">
        <v>83903.66</v>
      </c>
    </row>
    <row r="899" spans="1:10" x14ac:dyDescent="0.25">
      <c r="A899" t="s">
        <v>501</v>
      </c>
      <c r="B899" t="s">
        <v>88</v>
      </c>
      <c r="C899" s="1">
        <v>46059</v>
      </c>
      <c r="D899" t="s">
        <v>1744</v>
      </c>
      <c r="E899" t="s">
        <v>205</v>
      </c>
      <c r="F899" t="s">
        <v>109</v>
      </c>
      <c r="G899" s="14">
        <v>251030.28</v>
      </c>
      <c r="H899">
        <v>1450</v>
      </c>
      <c r="I899">
        <v>173.12</v>
      </c>
      <c r="J899">
        <v>303746.64</v>
      </c>
    </row>
    <row r="900" spans="1:10" x14ac:dyDescent="0.25">
      <c r="A900" t="s">
        <v>561</v>
      </c>
      <c r="B900" t="s">
        <v>88</v>
      </c>
      <c r="C900" s="1">
        <v>46059</v>
      </c>
      <c r="D900" t="s">
        <v>1798</v>
      </c>
      <c r="E900" t="s">
        <v>90</v>
      </c>
      <c r="F900" t="s">
        <v>91</v>
      </c>
      <c r="G900" s="14">
        <v>7941.54</v>
      </c>
      <c r="H900">
        <v>1450</v>
      </c>
      <c r="I900">
        <v>5.48</v>
      </c>
      <c r="J900">
        <v>9609.27</v>
      </c>
    </row>
    <row r="901" spans="1:10" x14ac:dyDescent="0.25">
      <c r="A901" t="s">
        <v>561</v>
      </c>
      <c r="B901" t="s">
        <v>88</v>
      </c>
      <c r="C901" s="1">
        <v>46059</v>
      </c>
      <c r="D901" t="s">
        <v>1798</v>
      </c>
      <c r="E901" t="s">
        <v>92</v>
      </c>
      <c r="F901" t="s">
        <v>91</v>
      </c>
      <c r="G901" s="14">
        <v>90.73</v>
      </c>
      <c r="H901">
        <v>1450</v>
      </c>
      <c r="I901">
        <v>0.06</v>
      </c>
      <c r="J901">
        <v>90.73</v>
      </c>
    </row>
    <row r="902" spans="1:10" x14ac:dyDescent="0.25">
      <c r="A902" t="s">
        <v>1533</v>
      </c>
      <c r="B902" t="s">
        <v>88</v>
      </c>
      <c r="C902" s="1">
        <v>46058</v>
      </c>
      <c r="D902" t="s">
        <v>1534</v>
      </c>
      <c r="E902" t="s">
        <v>215</v>
      </c>
      <c r="F902" t="s">
        <v>139</v>
      </c>
      <c r="G902" s="14">
        <v>9578.2800000000007</v>
      </c>
      <c r="H902">
        <v>1460</v>
      </c>
      <c r="I902">
        <v>6.56</v>
      </c>
      <c r="J902">
        <v>11589.72</v>
      </c>
    </row>
    <row r="903" spans="1:10" x14ac:dyDescent="0.25">
      <c r="A903" t="s">
        <v>1533</v>
      </c>
      <c r="B903" t="s">
        <v>88</v>
      </c>
      <c r="C903" s="1">
        <v>46058</v>
      </c>
      <c r="D903" t="s">
        <v>1534</v>
      </c>
      <c r="E903" t="s">
        <v>1535</v>
      </c>
      <c r="F903" t="s">
        <v>139</v>
      </c>
      <c r="G903" s="14">
        <v>18125.669999999998</v>
      </c>
      <c r="H903">
        <v>1460</v>
      </c>
      <c r="I903">
        <v>12.41</v>
      </c>
      <c r="J903">
        <v>18125.669999999998</v>
      </c>
    </row>
    <row r="904" spans="1:10" x14ac:dyDescent="0.25">
      <c r="A904" t="s">
        <v>161</v>
      </c>
      <c r="B904" t="s">
        <v>88</v>
      </c>
      <c r="C904" s="1">
        <v>46057</v>
      </c>
      <c r="D904" t="s">
        <v>1536</v>
      </c>
      <c r="E904" t="s">
        <v>136</v>
      </c>
      <c r="F904" t="s">
        <v>30</v>
      </c>
      <c r="G904" s="14">
        <v>141182.04999999999</v>
      </c>
      <c r="H904">
        <v>1465</v>
      </c>
      <c r="I904">
        <v>96.37</v>
      </c>
      <c r="J904">
        <v>170833.65</v>
      </c>
    </row>
    <row r="905" spans="1:10" x14ac:dyDescent="0.25">
      <c r="A905" t="s">
        <v>175</v>
      </c>
      <c r="B905" t="s">
        <v>88</v>
      </c>
      <c r="C905" s="1">
        <v>46057</v>
      </c>
      <c r="D905" t="s">
        <v>1555</v>
      </c>
      <c r="E905" t="s">
        <v>177</v>
      </c>
      <c r="F905" t="s">
        <v>109</v>
      </c>
      <c r="G905" s="14">
        <v>18843.52</v>
      </c>
      <c r="H905">
        <v>1465</v>
      </c>
      <c r="I905">
        <v>12.86</v>
      </c>
      <c r="J905">
        <v>23931.27</v>
      </c>
    </row>
    <row r="906" spans="1:10" x14ac:dyDescent="0.25">
      <c r="A906" t="s">
        <v>175</v>
      </c>
      <c r="B906" t="s">
        <v>88</v>
      </c>
      <c r="C906" s="1">
        <v>46057</v>
      </c>
      <c r="D906" t="s">
        <v>1555</v>
      </c>
      <c r="E906" t="s">
        <v>180</v>
      </c>
      <c r="F906" t="s">
        <v>109</v>
      </c>
      <c r="G906" s="14">
        <v>565.29999999999995</v>
      </c>
      <c r="H906">
        <v>1465</v>
      </c>
      <c r="I906">
        <v>0.39</v>
      </c>
      <c r="J906">
        <v>565.29999999999995</v>
      </c>
    </row>
    <row r="907" spans="1:10" x14ac:dyDescent="0.25">
      <c r="A907" t="s">
        <v>473</v>
      </c>
      <c r="B907" t="s">
        <v>279</v>
      </c>
      <c r="C907" s="1">
        <v>46057</v>
      </c>
      <c r="D907" t="s">
        <v>1724</v>
      </c>
      <c r="E907" t="s">
        <v>152</v>
      </c>
      <c r="F907" t="s">
        <v>475</v>
      </c>
      <c r="G907" s="14">
        <v>-58296.2</v>
      </c>
      <c r="H907">
        <v>1465</v>
      </c>
      <c r="I907">
        <v>-39.79</v>
      </c>
      <c r="J907">
        <v>-70538.399999999994</v>
      </c>
    </row>
    <row r="908" spans="1:10" x14ac:dyDescent="0.25">
      <c r="A908" t="s">
        <v>473</v>
      </c>
      <c r="B908" t="s">
        <v>279</v>
      </c>
      <c r="C908" s="1">
        <v>46057</v>
      </c>
      <c r="D908" t="s">
        <v>1724</v>
      </c>
      <c r="E908" t="s">
        <v>153</v>
      </c>
      <c r="F908" t="s">
        <v>475</v>
      </c>
      <c r="G908" s="14">
        <v>-1282.52</v>
      </c>
      <c r="H908">
        <v>1465</v>
      </c>
      <c r="I908">
        <v>-0.88</v>
      </c>
      <c r="J908">
        <v>-1282.52</v>
      </c>
    </row>
    <row r="909" spans="1:10" x14ac:dyDescent="0.25">
      <c r="A909" t="s">
        <v>561</v>
      </c>
      <c r="B909" t="s">
        <v>88</v>
      </c>
      <c r="C909" s="1">
        <v>46057</v>
      </c>
      <c r="D909" t="s">
        <v>1797</v>
      </c>
      <c r="E909" t="s">
        <v>90</v>
      </c>
      <c r="F909" t="s">
        <v>91</v>
      </c>
      <c r="G909" s="14">
        <v>7941.54</v>
      </c>
      <c r="H909">
        <v>1465</v>
      </c>
      <c r="I909">
        <v>5.42</v>
      </c>
      <c r="J909">
        <v>9609.27</v>
      </c>
    </row>
    <row r="910" spans="1:10" x14ac:dyDescent="0.25">
      <c r="A910" t="s">
        <v>561</v>
      </c>
      <c r="B910" t="s">
        <v>88</v>
      </c>
      <c r="C910" s="1">
        <v>46057</v>
      </c>
      <c r="D910" t="s">
        <v>1797</v>
      </c>
      <c r="E910" t="s">
        <v>92</v>
      </c>
      <c r="F910" t="s">
        <v>91</v>
      </c>
      <c r="G910" s="14">
        <v>90.73</v>
      </c>
      <c r="H910">
        <v>1465</v>
      </c>
      <c r="I910">
        <v>0.06</v>
      </c>
      <c r="J910">
        <v>90.73</v>
      </c>
    </row>
    <row r="911" spans="1:10" x14ac:dyDescent="0.25">
      <c r="A911" t="s">
        <v>1574</v>
      </c>
      <c r="B911" t="s">
        <v>88</v>
      </c>
      <c r="C911" s="1">
        <v>46056</v>
      </c>
      <c r="D911" t="s">
        <v>1575</v>
      </c>
      <c r="E911" t="s">
        <v>205</v>
      </c>
      <c r="F911" t="s">
        <v>8</v>
      </c>
      <c r="G911" s="14">
        <v>16372.78</v>
      </c>
      <c r="H911">
        <v>1465</v>
      </c>
      <c r="I911">
        <v>11.18</v>
      </c>
      <c r="J911">
        <v>19811.060000000001</v>
      </c>
    </row>
    <row r="912" spans="1:10" x14ac:dyDescent="0.25">
      <c r="A912" t="s">
        <v>281</v>
      </c>
      <c r="B912" t="s">
        <v>88</v>
      </c>
      <c r="C912" s="1">
        <v>46056</v>
      </c>
      <c r="D912" t="s">
        <v>1585</v>
      </c>
      <c r="E912" t="s">
        <v>283</v>
      </c>
      <c r="F912" t="s">
        <v>109</v>
      </c>
      <c r="G912" s="14">
        <v>64198.35</v>
      </c>
      <c r="H912">
        <v>1465</v>
      </c>
      <c r="I912">
        <v>43.82</v>
      </c>
      <c r="J912">
        <v>77680</v>
      </c>
    </row>
    <row r="913" spans="1:10" x14ac:dyDescent="0.25">
      <c r="A913" t="s">
        <v>426</v>
      </c>
      <c r="B913" t="s">
        <v>88</v>
      </c>
      <c r="C913" s="1">
        <v>46056</v>
      </c>
      <c r="D913" t="s">
        <v>1677</v>
      </c>
      <c r="E913" t="s">
        <v>136</v>
      </c>
      <c r="F913" t="s">
        <v>855</v>
      </c>
      <c r="G913" s="14">
        <v>508878.15</v>
      </c>
      <c r="H913">
        <v>1465</v>
      </c>
      <c r="I913">
        <v>347.36</v>
      </c>
      <c r="J913">
        <v>615742.56000000006</v>
      </c>
    </row>
    <row r="914" spans="1:10" x14ac:dyDescent="0.25">
      <c r="A914" t="s">
        <v>1706</v>
      </c>
      <c r="B914" t="s">
        <v>88</v>
      </c>
      <c r="C914" s="1">
        <v>46056</v>
      </c>
      <c r="D914" t="s">
        <v>1709</v>
      </c>
      <c r="E914" t="s">
        <v>1708</v>
      </c>
      <c r="F914" t="s">
        <v>109</v>
      </c>
      <c r="G914" s="14">
        <v>216236.58</v>
      </c>
      <c r="H914">
        <v>1465</v>
      </c>
      <c r="I914">
        <v>147.6</v>
      </c>
      <c r="J914">
        <v>261646.26</v>
      </c>
    </row>
    <row r="915" spans="1:10" x14ac:dyDescent="0.25">
      <c r="A915" t="s">
        <v>504</v>
      </c>
      <c r="B915" t="s">
        <v>88</v>
      </c>
      <c r="C915" s="1">
        <v>46056</v>
      </c>
      <c r="D915" t="s">
        <v>1755</v>
      </c>
      <c r="E915" t="s">
        <v>422</v>
      </c>
      <c r="F915" t="s">
        <v>109</v>
      </c>
      <c r="G915" s="14">
        <v>55325</v>
      </c>
      <c r="H915">
        <v>1465</v>
      </c>
      <c r="I915">
        <v>37.76</v>
      </c>
      <c r="J915">
        <v>66943.25</v>
      </c>
    </row>
    <row r="916" spans="1:10" x14ac:dyDescent="0.25">
      <c r="A916" t="s">
        <v>1436</v>
      </c>
      <c r="B916" t="s">
        <v>88</v>
      </c>
      <c r="C916" s="1">
        <v>46056</v>
      </c>
      <c r="D916" t="s">
        <v>1766</v>
      </c>
      <c r="E916" t="s">
        <v>90</v>
      </c>
      <c r="F916" t="s">
        <v>91</v>
      </c>
      <c r="G916" s="14">
        <v>92068.63</v>
      </c>
      <c r="H916">
        <v>1465</v>
      </c>
      <c r="I916">
        <v>62.85</v>
      </c>
      <c r="J916">
        <v>111403.04</v>
      </c>
    </row>
    <row r="917" spans="1:10" x14ac:dyDescent="0.25">
      <c r="A917" t="s">
        <v>1436</v>
      </c>
      <c r="B917" t="s">
        <v>88</v>
      </c>
      <c r="C917" s="1">
        <v>46056</v>
      </c>
      <c r="D917" t="s">
        <v>1766</v>
      </c>
      <c r="E917" t="s">
        <v>92</v>
      </c>
      <c r="F917" t="s">
        <v>91</v>
      </c>
      <c r="G917" s="14">
        <v>15609.01</v>
      </c>
      <c r="H917">
        <v>1465</v>
      </c>
      <c r="I917">
        <v>10.65</v>
      </c>
      <c r="J917">
        <v>15609.01</v>
      </c>
    </row>
    <row r="918" spans="1:10" x14ac:dyDescent="0.25">
      <c r="A918" t="s">
        <v>106</v>
      </c>
      <c r="B918" t="s">
        <v>88</v>
      </c>
      <c r="C918" s="1">
        <v>46055</v>
      </c>
      <c r="D918" t="s">
        <v>1519</v>
      </c>
      <c r="E918" t="s">
        <v>102</v>
      </c>
      <c r="F918" t="s">
        <v>109</v>
      </c>
      <c r="G918" s="14">
        <v>58375</v>
      </c>
      <c r="H918">
        <v>1465</v>
      </c>
      <c r="I918">
        <v>39.85</v>
      </c>
      <c r="J918">
        <v>58375</v>
      </c>
    </row>
    <row r="919" spans="1:10" x14ac:dyDescent="0.25">
      <c r="A919" t="s">
        <v>275</v>
      </c>
      <c r="B919" t="s">
        <v>88</v>
      </c>
      <c r="C919" s="1">
        <v>46055</v>
      </c>
      <c r="D919" t="s">
        <v>1583</v>
      </c>
      <c r="E919" t="s">
        <v>90</v>
      </c>
      <c r="F919" t="s">
        <v>91</v>
      </c>
      <c r="G919" s="14">
        <v>722358.74</v>
      </c>
      <c r="H919">
        <v>1465</v>
      </c>
      <c r="I919">
        <v>493.08</v>
      </c>
      <c r="J919">
        <v>874054.09</v>
      </c>
    </row>
    <row r="920" spans="1:10" x14ac:dyDescent="0.25">
      <c r="A920" t="s">
        <v>275</v>
      </c>
      <c r="B920" t="s">
        <v>88</v>
      </c>
      <c r="C920" s="1">
        <v>46055</v>
      </c>
      <c r="D920" t="s">
        <v>1583</v>
      </c>
      <c r="E920" t="s">
        <v>92</v>
      </c>
      <c r="F920" t="s">
        <v>91</v>
      </c>
      <c r="G920" s="14">
        <v>143618.70000000001</v>
      </c>
      <c r="H920">
        <v>1465</v>
      </c>
      <c r="I920">
        <v>98.03</v>
      </c>
      <c r="J920">
        <v>143618.70000000001</v>
      </c>
    </row>
    <row r="921" spans="1:10" x14ac:dyDescent="0.25">
      <c r="A921" t="s">
        <v>364</v>
      </c>
      <c r="B921" t="s">
        <v>88</v>
      </c>
      <c r="C921" s="1">
        <v>46055</v>
      </c>
      <c r="D921" t="s">
        <v>1629</v>
      </c>
      <c r="E921" t="s">
        <v>102</v>
      </c>
      <c r="F921" t="s">
        <v>109</v>
      </c>
      <c r="G921" s="14">
        <v>16500</v>
      </c>
      <c r="H921">
        <v>1465</v>
      </c>
      <c r="I921">
        <v>11.26</v>
      </c>
      <c r="J921">
        <v>16500</v>
      </c>
    </row>
    <row r="922" spans="1:10" x14ac:dyDescent="0.25">
      <c r="A922" t="s">
        <v>383</v>
      </c>
      <c r="B922" t="s">
        <v>88</v>
      </c>
      <c r="C922" s="1">
        <v>46055</v>
      </c>
      <c r="D922" t="s">
        <v>1640</v>
      </c>
      <c r="E922" t="s">
        <v>136</v>
      </c>
      <c r="F922" t="s">
        <v>135</v>
      </c>
      <c r="G922" s="14">
        <v>309735.25</v>
      </c>
      <c r="H922">
        <v>1465</v>
      </c>
      <c r="I922">
        <v>211.42</v>
      </c>
      <c r="J922">
        <v>374779.65</v>
      </c>
    </row>
    <row r="923" spans="1:10" x14ac:dyDescent="0.25">
      <c r="A923" t="s">
        <v>1645</v>
      </c>
      <c r="B923" t="s">
        <v>96</v>
      </c>
      <c r="C923" s="1">
        <v>46055</v>
      </c>
      <c r="D923" t="s">
        <v>1646</v>
      </c>
      <c r="E923" t="s">
        <v>1647</v>
      </c>
      <c r="F923" t="s">
        <v>85</v>
      </c>
      <c r="G923" s="14">
        <v>53270</v>
      </c>
      <c r="H923">
        <v>1465</v>
      </c>
      <c r="I923">
        <v>36.36</v>
      </c>
      <c r="J923">
        <v>53270</v>
      </c>
    </row>
    <row r="924" spans="1:10" x14ac:dyDescent="0.25">
      <c r="A924" t="s">
        <v>478</v>
      </c>
      <c r="B924" t="s">
        <v>88</v>
      </c>
      <c r="C924" s="1">
        <v>46055</v>
      </c>
      <c r="D924" t="s">
        <v>1726</v>
      </c>
      <c r="E924" t="s">
        <v>267</v>
      </c>
      <c r="F924" t="s">
        <v>109</v>
      </c>
      <c r="G924" s="14">
        <v>18929.75</v>
      </c>
      <c r="H924">
        <v>1465</v>
      </c>
      <c r="I924">
        <v>12.92</v>
      </c>
      <c r="J924">
        <v>22905</v>
      </c>
    </row>
    <row r="925" spans="1:10" x14ac:dyDescent="0.25">
      <c r="A925" t="s">
        <v>265</v>
      </c>
      <c r="B925" t="s">
        <v>88</v>
      </c>
      <c r="C925" s="1">
        <v>46054</v>
      </c>
      <c r="D925" t="s">
        <v>1577</v>
      </c>
      <c r="E925" t="s">
        <v>267</v>
      </c>
      <c r="F925" t="s">
        <v>109</v>
      </c>
      <c r="G925" s="14">
        <v>93000</v>
      </c>
      <c r="H925">
        <v>1465</v>
      </c>
      <c r="I925">
        <v>63.48</v>
      </c>
      <c r="J925">
        <v>112530</v>
      </c>
    </row>
    <row r="926" spans="1:10" x14ac:dyDescent="0.25">
      <c r="A926" t="s">
        <v>1702</v>
      </c>
      <c r="B926" t="s">
        <v>88</v>
      </c>
      <c r="C926" s="1">
        <v>46054</v>
      </c>
      <c r="D926" t="s">
        <v>1703</v>
      </c>
      <c r="E926" t="s">
        <v>90</v>
      </c>
      <c r="F926" t="s">
        <v>91</v>
      </c>
      <c r="G926" s="14">
        <v>43916.89</v>
      </c>
      <c r="H926">
        <v>1465</v>
      </c>
      <c r="I926">
        <v>29.98</v>
      </c>
      <c r="J926">
        <v>53139.45</v>
      </c>
    </row>
    <row r="927" spans="1:10" x14ac:dyDescent="0.25">
      <c r="A927" t="s">
        <v>1702</v>
      </c>
      <c r="B927" t="s">
        <v>88</v>
      </c>
      <c r="C927" s="1">
        <v>46054</v>
      </c>
      <c r="D927" t="s">
        <v>1703</v>
      </c>
      <c r="E927" t="s">
        <v>92</v>
      </c>
      <c r="F927" t="s">
        <v>91</v>
      </c>
      <c r="G927" s="14">
        <v>6860.51</v>
      </c>
      <c r="H927">
        <v>1465</v>
      </c>
      <c r="I927">
        <v>4.68</v>
      </c>
      <c r="J927">
        <v>6860.51</v>
      </c>
    </row>
    <row r="928" spans="1:10" x14ac:dyDescent="0.25">
      <c r="A928" t="s">
        <v>1550</v>
      </c>
      <c r="B928" t="s">
        <v>88</v>
      </c>
      <c r="C928" s="1">
        <v>46053</v>
      </c>
      <c r="D928" t="s">
        <v>1552</v>
      </c>
      <c r="E928" t="s">
        <v>90</v>
      </c>
      <c r="F928" t="s">
        <v>91</v>
      </c>
      <c r="G928" s="14">
        <v>102350.71</v>
      </c>
      <c r="H928">
        <v>1465</v>
      </c>
      <c r="I928">
        <v>69.86</v>
      </c>
      <c r="J928">
        <v>123844.37</v>
      </c>
    </row>
    <row r="929" spans="1:10" x14ac:dyDescent="0.25">
      <c r="A929" t="s">
        <v>1550</v>
      </c>
      <c r="B929" t="s">
        <v>88</v>
      </c>
      <c r="C929" s="1">
        <v>46053</v>
      </c>
      <c r="D929" t="s">
        <v>1552</v>
      </c>
      <c r="E929" t="s">
        <v>92</v>
      </c>
      <c r="F929" t="s">
        <v>91</v>
      </c>
      <c r="G929" s="14">
        <v>16166.6</v>
      </c>
      <c r="H929">
        <v>1465</v>
      </c>
      <c r="I929">
        <v>11.04</v>
      </c>
      <c r="J929">
        <v>16166.6</v>
      </c>
    </row>
    <row r="930" spans="1:10" x14ac:dyDescent="0.25">
      <c r="A930" t="s">
        <v>349</v>
      </c>
      <c r="B930" t="s">
        <v>88</v>
      </c>
      <c r="C930" s="1">
        <v>46053</v>
      </c>
      <c r="D930" t="s">
        <v>1623</v>
      </c>
      <c r="E930" t="s">
        <v>102</v>
      </c>
      <c r="F930" t="s">
        <v>109</v>
      </c>
      <c r="G930" s="14">
        <v>186682.56</v>
      </c>
      <c r="H930">
        <v>1465</v>
      </c>
      <c r="I930">
        <v>127.43</v>
      </c>
      <c r="J930">
        <v>186682.56</v>
      </c>
    </row>
    <row r="931" spans="1:10" x14ac:dyDescent="0.25">
      <c r="A931" t="s">
        <v>521</v>
      </c>
      <c r="B931" t="s">
        <v>88</v>
      </c>
      <c r="C931" s="1">
        <v>46053</v>
      </c>
      <c r="D931" t="s">
        <v>1777</v>
      </c>
      <c r="E931" t="s">
        <v>136</v>
      </c>
      <c r="F931" t="s">
        <v>855</v>
      </c>
      <c r="G931" s="14">
        <v>48500</v>
      </c>
      <c r="H931">
        <v>1465</v>
      </c>
      <c r="I931">
        <v>33.11</v>
      </c>
      <c r="J931">
        <v>58685</v>
      </c>
    </row>
    <row r="932" spans="1:10" x14ac:dyDescent="0.25">
      <c r="A932" t="s">
        <v>246</v>
      </c>
      <c r="B932" t="s">
        <v>88</v>
      </c>
      <c r="C932" s="1">
        <v>46052</v>
      </c>
      <c r="D932" t="s">
        <v>1573</v>
      </c>
      <c r="E932" t="s">
        <v>114</v>
      </c>
      <c r="F932" t="s">
        <v>117</v>
      </c>
      <c r="G932" s="14">
        <v>6239.91</v>
      </c>
      <c r="H932">
        <v>1465</v>
      </c>
      <c r="I932">
        <v>4.26</v>
      </c>
      <c r="J932">
        <v>7550.28</v>
      </c>
    </row>
    <row r="933" spans="1:10" x14ac:dyDescent="0.25">
      <c r="A933" t="s">
        <v>1603</v>
      </c>
      <c r="B933" t="s">
        <v>88</v>
      </c>
      <c r="C933" s="1">
        <v>46052</v>
      </c>
      <c r="D933" t="s">
        <v>1604</v>
      </c>
      <c r="E933" t="s">
        <v>90</v>
      </c>
      <c r="F933" t="s">
        <v>91</v>
      </c>
      <c r="G933" s="14">
        <v>28418.03</v>
      </c>
      <c r="H933">
        <v>1465</v>
      </c>
      <c r="I933">
        <v>19.399999999999999</v>
      </c>
      <c r="J933">
        <v>34385.81</v>
      </c>
    </row>
    <row r="934" spans="1:10" x14ac:dyDescent="0.25">
      <c r="A934" t="s">
        <v>1603</v>
      </c>
      <c r="B934" t="s">
        <v>88</v>
      </c>
      <c r="C934" s="1">
        <v>46052</v>
      </c>
      <c r="D934" t="s">
        <v>1604</v>
      </c>
      <c r="E934" t="s">
        <v>92</v>
      </c>
      <c r="F934" t="s">
        <v>91</v>
      </c>
      <c r="G934" s="14">
        <v>7668.16</v>
      </c>
      <c r="H934">
        <v>1465</v>
      </c>
      <c r="I934">
        <v>5.23</v>
      </c>
      <c r="J934">
        <v>7668.16</v>
      </c>
    </row>
    <row r="935" spans="1:10" x14ac:dyDescent="0.25">
      <c r="A935" t="s">
        <v>1251</v>
      </c>
      <c r="B935" t="s">
        <v>88</v>
      </c>
      <c r="C935" s="1">
        <v>46052</v>
      </c>
      <c r="D935" t="s">
        <v>1675</v>
      </c>
      <c r="E935" t="s">
        <v>136</v>
      </c>
      <c r="F935" t="s">
        <v>6</v>
      </c>
      <c r="G935" s="14">
        <v>107584.02</v>
      </c>
      <c r="H935">
        <v>1465</v>
      </c>
      <c r="I935">
        <v>73.44</v>
      </c>
      <c r="J935">
        <v>130176.66</v>
      </c>
    </row>
    <row r="936" spans="1:10" x14ac:dyDescent="0.25">
      <c r="A936" t="s">
        <v>466</v>
      </c>
      <c r="B936" t="s">
        <v>470</v>
      </c>
      <c r="C936" s="1">
        <v>46052</v>
      </c>
      <c r="D936" t="s">
        <v>1719</v>
      </c>
      <c r="E936" t="s">
        <v>944</v>
      </c>
      <c r="F936" t="s">
        <v>945</v>
      </c>
      <c r="G936" s="14">
        <v>143798.04</v>
      </c>
      <c r="H936">
        <v>1465</v>
      </c>
      <c r="I936">
        <v>98.16</v>
      </c>
      <c r="J936">
        <v>173995.63</v>
      </c>
    </row>
    <row r="937" spans="1:10" x14ac:dyDescent="0.25">
      <c r="A937" t="s">
        <v>289</v>
      </c>
      <c r="B937" t="s">
        <v>88</v>
      </c>
      <c r="C937" s="1">
        <v>46051</v>
      </c>
      <c r="D937" t="s">
        <v>1595</v>
      </c>
      <c r="E937" t="s">
        <v>138</v>
      </c>
      <c r="F937" t="s">
        <v>139</v>
      </c>
      <c r="G937" s="14">
        <v>120740</v>
      </c>
      <c r="H937">
        <v>1465</v>
      </c>
      <c r="I937">
        <v>82.42</v>
      </c>
      <c r="J937">
        <v>146095.4</v>
      </c>
    </row>
    <row r="938" spans="1:10" x14ac:dyDescent="0.25">
      <c r="A938" t="s">
        <v>289</v>
      </c>
      <c r="B938" t="s">
        <v>88</v>
      </c>
      <c r="C938" s="1">
        <v>46051</v>
      </c>
      <c r="D938" t="s">
        <v>1596</v>
      </c>
      <c r="E938" t="s">
        <v>138</v>
      </c>
      <c r="F938" t="s">
        <v>139</v>
      </c>
      <c r="G938" s="14">
        <v>448316</v>
      </c>
      <c r="H938">
        <v>1465</v>
      </c>
      <c r="I938">
        <v>306.02</v>
      </c>
      <c r="J938">
        <v>542462.36</v>
      </c>
    </row>
    <row r="939" spans="1:10" x14ac:dyDescent="0.25">
      <c r="A939" t="s">
        <v>400</v>
      </c>
      <c r="B939" t="s">
        <v>88</v>
      </c>
      <c r="C939" s="1">
        <v>46051</v>
      </c>
      <c r="D939" t="s">
        <v>1661</v>
      </c>
      <c r="E939" t="s">
        <v>184</v>
      </c>
      <c r="F939" t="s">
        <v>855</v>
      </c>
      <c r="G939" s="14">
        <v>250685.25</v>
      </c>
      <c r="H939">
        <v>1465</v>
      </c>
      <c r="I939">
        <v>171.12</v>
      </c>
      <c r="J939">
        <v>303329.15000000002</v>
      </c>
    </row>
    <row r="940" spans="1:10" x14ac:dyDescent="0.25">
      <c r="A940" t="s">
        <v>400</v>
      </c>
      <c r="B940" t="s">
        <v>88</v>
      </c>
      <c r="C940" s="1">
        <v>46051</v>
      </c>
      <c r="D940" t="s">
        <v>1661</v>
      </c>
      <c r="E940" t="s">
        <v>184</v>
      </c>
      <c r="F940" t="s">
        <v>25</v>
      </c>
      <c r="G940" s="14">
        <v>17906.09</v>
      </c>
      <c r="H940">
        <v>1465</v>
      </c>
      <c r="I940">
        <v>12.22</v>
      </c>
      <c r="J940">
        <v>21666.37</v>
      </c>
    </row>
    <row r="941" spans="1:10" x14ac:dyDescent="0.25">
      <c r="A941" t="s">
        <v>400</v>
      </c>
      <c r="B941" t="s">
        <v>88</v>
      </c>
      <c r="C941" s="1">
        <v>46051</v>
      </c>
      <c r="D941" t="s">
        <v>1661</v>
      </c>
      <c r="E941" t="s">
        <v>184</v>
      </c>
      <c r="F941" t="s">
        <v>135</v>
      </c>
      <c r="G941" s="14">
        <v>8953.0400000000009</v>
      </c>
      <c r="H941">
        <v>1465</v>
      </c>
      <c r="I941">
        <v>6.11</v>
      </c>
      <c r="J941">
        <v>10833.18</v>
      </c>
    </row>
    <row r="942" spans="1:10" x14ac:dyDescent="0.25">
      <c r="A942" t="s">
        <v>400</v>
      </c>
      <c r="B942" t="s">
        <v>88</v>
      </c>
      <c r="C942" s="1">
        <v>46051</v>
      </c>
      <c r="D942" t="s">
        <v>1661</v>
      </c>
      <c r="E942" t="s">
        <v>184</v>
      </c>
      <c r="F942" t="s">
        <v>33</v>
      </c>
      <c r="G942" s="14">
        <v>20890.439999999999</v>
      </c>
      <c r="H942">
        <v>1465</v>
      </c>
      <c r="I942">
        <v>14.26</v>
      </c>
      <c r="J942">
        <v>25277.43</v>
      </c>
    </row>
    <row r="943" spans="1:10" x14ac:dyDescent="0.25">
      <c r="A943" t="s">
        <v>400</v>
      </c>
      <c r="B943" t="s">
        <v>88</v>
      </c>
      <c r="C943" s="1">
        <v>46051</v>
      </c>
      <c r="D943" t="s">
        <v>1662</v>
      </c>
      <c r="E943" t="s">
        <v>184</v>
      </c>
      <c r="F943" t="s">
        <v>855</v>
      </c>
      <c r="G943" s="14">
        <v>62843</v>
      </c>
      <c r="H943">
        <v>1465</v>
      </c>
      <c r="I943">
        <v>42.9</v>
      </c>
      <c r="J943">
        <v>76040.03</v>
      </c>
    </row>
    <row r="944" spans="1:10" x14ac:dyDescent="0.25">
      <c r="A944" t="s">
        <v>561</v>
      </c>
      <c r="B944" t="s">
        <v>88</v>
      </c>
      <c r="C944" s="1">
        <v>46051</v>
      </c>
      <c r="D944" t="s">
        <v>1806</v>
      </c>
      <c r="E944" t="s">
        <v>90</v>
      </c>
      <c r="F944" t="s">
        <v>91</v>
      </c>
      <c r="G944" s="14">
        <v>9090.91</v>
      </c>
      <c r="H944">
        <v>1465</v>
      </c>
      <c r="I944">
        <v>6.21</v>
      </c>
      <c r="J944">
        <v>11000</v>
      </c>
    </row>
    <row r="945" spans="1:10" x14ac:dyDescent="0.25">
      <c r="A945" t="s">
        <v>132</v>
      </c>
      <c r="B945" t="s">
        <v>88</v>
      </c>
      <c r="C945" s="1">
        <v>46050</v>
      </c>
      <c r="D945" t="s">
        <v>1532</v>
      </c>
      <c r="E945" t="s">
        <v>136</v>
      </c>
      <c r="F945" t="s">
        <v>855</v>
      </c>
      <c r="G945" s="14">
        <v>67945.36</v>
      </c>
      <c r="H945">
        <v>1465</v>
      </c>
      <c r="I945">
        <v>46.38</v>
      </c>
      <c r="J945">
        <v>82213.89</v>
      </c>
    </row>
    <row r="946" spans="1:10" x14ac:dyDescent="0.25">
      <c r="A946" t="s">
        <v>1251</v>
      </c>
      <c r="B946" t="s">
        <v>88</v>
      </c>
      <c r="C946" s="1">
        <v>46050</v>
      </c>
      <c r="D946" t="s">
        <v>1674</v>
      </c>
      <c r="E946" t="s">
        <v>136</v>
      </c>
      <c r="F946" t="s">
        <v>33</v>
      </c>
      <c r="G946" s="14">
        <v>377222.85</v>
      </c>
      <c r="H946">
        <v>1465</v>
      </c>
      <c r="I946">
        <v>257.49</v>
      </c>
      <c r="J946">
        <v>456435.4</v>
      </c>
    </row>
    <row r="947" spans="1:10" x14ac:dyDescent="0.25">
      <c r="A947" t="s">
        <v>466</v>
      </c>
      <c r="B947" t="s">
        <v>88</v>
      </c>
      <c r="C947" s="1">
        <v>46050</v>
      </c>
      <c r="D947" t="s">
        <v>1717</v>
      </c>
      <c r="E947" t="s">
        <v>136</v>
      </c>
      <c r="F947" t="s">
        <v>31</v>
      </c>
      <c r="G947" s="14">
        <v>44011958.82</v>
      </c>
      <c r="H947">
        <v>1465</v>
      </c>
      <c r="I947">
        <v>30042.29</v>
      </c>
      <c r="J947">
        <v>53254474.640000001</v>
      </c>
    </row>
    <row r="948" spans="1:10" x14ac:dyDescent="0.25">
      <c r="A948" t="s">
        <v>561</v>
      </c>
      <c r="B948" t="s">
        <v>88</v>
      </c>
      <c r="C948" s="1">
        <v>46050</v>
      </c>
      <c r="D948" t="s">
        <v>1804</v>
      </c>
      <c r="E948" t="s">
        <v>90</v>
      </c>
      <c r="F948" t="s">
        <v>91</v>
      </c>
      <c r="G948" s="14">
        <v>91984.44</v>
      </c>
      <c r="H948">
        <v>1465</v>
      </c>
      <c r="I948">
        <v>62.79</v>
      </c>
      <c r="J948">
        <v>111301.18</v>
      </c>
    </row>
    <row r="949" spans="1:10" x14ac:dyDescent="0.25">
      <c r="A949" t="s">
        <v>561</v>
      </c>
      <c r="B949" t="s">
        <v>88</v>
      </c>
      <c r="C949" s="1">
        <v>46050</v>
      </c>
      <c r="D949" t="s">
        <v>1804</v>
      </c>
      <c r="E949" t="s">
        <v>92</v>
      </c>
      <c r="F949" t="s">
        <v>91</v>
      </c>
      <c r="G949" s="14">
        <v>13707.62</v>
      </c>
      <c r="H949">
        <v>1465</v>
      </c>
      <c r="I949">
        <v>9.36</v>
      </c>
      <c r="J949">
        <v>13707.62</v>
      </c>
    </row>
    <row r="950" spans="1:10" x14ac:dyDescent="0.25">
      <c r="A950" t="s">
        <v>561</v>
      </c>
      <c r="B950" t="s">
        <v>88</v>
      </c>
      <c r="C950" s="1">
        <v>46050</v>
      </c>
      <c r="D950" t="s">
        <v>1805</v>
      </c>
      <c r="E950" t="s">
        <v>90</v>
      </c>
      <c r="F950" t="s">
        <v>91</v>
      </c>
      <c r="G950" s="14">
        <v>13976.77</v>
      </c>
      <c r="H950">
        <v>1465</v>
      </c>
      <c r="I950">
        <v>9.5399999999999991</v>
      </c>
      <c r="J950">
        <v>16911.900000000001</v>
      </c>
    </row>
    <row r="951" spans="1:10" x14ac:dyDescent="0.25">
      <c r="A951" t="s">
        <v>561</v>
      </c>
      <c r="B951" t="s">
        <v>88</v>
      </c>
      <c r="C951" s="1">
        <v>46050</v>
      </c>
      <c r="D951" t="s">
        <v>1805</v>
      </c>
      <c r="E951" t="s">
        <v>92</v>
      </c>
      <c r="F951" t="s">
        <v>91</v>
      </c>
      <c r="G951" s="14">
        <v>288.10000000000002</v>
      </c>
      <c r="H951">
        <v>1465</v>
      </c>
      <c r="I951">
        <v>0.2</v>
      </c>
      <c r="J951">
        <v>288.10000000000002</v>
      </c>
    </row>
    <row r="952" spans="1:10" x14ac:dyDescent="0.25">
      <c r="A952" t="s">
        <v>161</v>
      </c>
      <c r="B952" t="s">
        <v>279</v>
      </c>
      <c r="C952" s="1">
        <v>46049</v>
      </c>
      <c r="D952" t="s">
        <v>1549</v>
      </c>
      <c r="E952" t="s">
        <v>136</v>
      </c>
      <c r="F952" t="s">
        <v>855</v>
      </c>
      <c r="G952" s="14">
        <v>-225570</v>
      </c>
      <c r="H952">
        <v>1465</v>
      </c>
      <c r="I952">
        <v>-153.97</v>
      </c>
      <c r="J952">
        <v>-272947</v>
      </c>
    </row>
    <row r="953" spans="1:10" x14ac:dyDescent="0.25">
      <c r="A953" t="s">
        <v>226</v>
      </c>
      <c r="B953" t="s">
        <v>88</v>
      </c>
      <c r="C953" s="1">
        <v>46049</v>
      </c>
      <c r="D953" t="s">
        <v>1564</v>
      </c>
      <c r="E953" t="s">
        <v>228</v>
      </c>
      <c r="F953" t="s">
        <v>109</v>
      </c>
      <c r="G953" s="14">
        <v>260256.33</v>
      </c>
      <c r="H953">
        <v>1465</v>
      </c>
      <c r="I953">
        <v>177.65</v>
      </c>
      <c r="J953">
        <v>330525.53999999998</v>
      </c>
    </row>
    <row r="954" spans="1:10" x14ac:dyDescent="0.25">
      <c r="A954" t="s">
        <v>226</v>
      </c>
      <c r="B954" t="s">
        <v>88</v>
      </c>
      <c r="C954" s="1">
        <v>46049</v>
      </c>
      <c r="D954" t="s">
        <v>1564</v>
      </c>
      <c r="E954" t="s">
        <v>229</v>
      </c>
      <c r="F954" t="s">
        <v>109</v>
      </c>
      <c r="G954" s="14">
        <v>197911.08</v>
      </c>
      <c r="H954">
        <v>1465</v>
      </c>
      <c r="I954">
        <v>135.09</v>
      </c>
      <c r="J954">
        <v>197911.08</v>
      </c>
    </row>
    <row r="955" spans="1:10" x14ac:dyDescent="0.25">
      <c r="A955" t="s">
        <v>226</v>
      </c>
      <c r="B955" t="s">
        <v>88</v>
      </c>
      <c r="C955" s="1">
        <v>46049</v>
      </c>
      <c r="D955" t="s">
        <v>1565</v>
      </c>
      <c r="E955" t="s">
        <v>228</v>
      </c>
      <c r="F955" t="s">
        <v>109</v>
      </c>
      <c r="G955" s="14">
        <v>264095.59000000003</v>
      </c>
      <c r="H955">
        <v>1465</v>
      </c>
      <c r="I955">
        <v>180.27</v>
      </c>
      <c r="J955">
        <v>335401.40000000002</v>
      </c>
    </row>
    <row r="956" spans="1:10" x14ac:dyDescent="0.25">
      <c r="A956" t="s">
        <v>226</v>
      </c>
      <c r="B956" t="s">
        <v>88</v>
      </c>
      <c r="C956" s="1">
        <v>46049</v>
      </c>
      <c r="D956" t="s">
        <v>1565</v>
      </c>
      <c r="E956" t="s">
        <v>229</v>
      </c>
      <c r="F956" t="s">
        <v>109</v>
      </c>
      <c r="G956" s="14">
        <v>99424.16</v>
      </c>
      <c r="H956">
        <v>1465</v>
      </c>
      <c r="I956">
        <v>67.87</v>
      </c>
      <c r="J956">
        <v>99424.16</v>
      </c>
    </row>
    <row r="957" spans="1:10" x14ac:dyDescent="0.25">
      <c r="A957" t="s">
        <v>319</v>
      </c>
      <c r="B957" t="s">
        <v>88</v>
      </c>
      <c r="C957" s="1">
        <v>46049</v>
      </c>
      <c r="D957" t="s">
        <v>1614</v>
      </c>
      <c r="E957" t="s">
        <v>274</v>
      </c>
      <c r="F957" t="s">
        <v>271</v>
      </c>
      <c r="G957" s="14">
        <v>37272.730000000003</v>
      </c>
      <c r="H957">
        <v>1465</v>
      </c>
      <c r="I957">
        <v>25.44</v>
      </c>
      <c r="J957">
        <v>45100</v>
      </c>
    </row>
    <row r="958" spans="1:10" x14ac:dyDescent="0.25">
      <c r="A958" t="s">
        <v>393</v>
      </c>
      <c r="B958" t="s">
        <v>88</v>
      </c>
      <c r="C958" s="1">
        <v>46049</v>
      </c>
      <c r="D958" t="s">
        <v>1643</v>
      </c>
      <c r="E958" t="s">
        <v>205</v>
      </c>
      <c r="F958" t="s">
        <v>206</v>
      </c>
      <c r="G958" s="14">
        <v>48778</v>
      </c>
      <c r="H958">
        <v>1465</v>
      </c>
      <c r="I958">
        <v>33.299999999999997</v>
      </c>
      <c r="J958">
        <v>59021.38</v>
      </c>
    </row>
    <row r="959" spans="1:10" x14ac:dyDescent="0.25">
      <c r="A959" t="s">
        <v>161</v>
      </c>
      <c r="B959" t="s">
        <v>88</v>
      </c>
      <c r="C959" s="1">
        <v>46048</v>
      </c>
      <c r="D959" t="s">
        <v>1545</v>
      </c>
      <c r="E959" t="s">
        <v>136</v>
      </c>
      <c r="F959" t="s">
        <v>855</v>
      </c>
      <c r="G959" s="14">
        <v>355602</v>
      </c>
      <c r="H959">
        <v>1460</v>
      </c>
      <c r="I959">
        <v>243.56</v>
      </c>
      <c r="J959">
        <v>430272.6</v>
      </c>
    </row>
    <row r="960" spans="1:10" x14ac:dyDescent="0.25">
      <c r="A960" t="s">
        <v>161</v>
      </c>
      <c r="B960" t="s">
        <v>88</v>
      </c>
      <c r="C960" s="1">
        <v>46048</v>
      </c>
      <c r="D960" t="s">
        <v>1546</v>
      </c>
      <c r="E960" t="s">
        <v>136</v>
      </c>
      <c r="F960" t="s">
        <v>855</v>
      </c>
      <c r="G960" s="14">
        <v>394392.3</v>
      </c>
      <c r="H960">
        <v>1460</v>
      </c>
      <c r="I960">
        <v>270.13</v>
      </c>
      <c r="J960">
        <v>477210.9</v>
      </c>
    </row>
    <row r="961" spans="1:10" x14ac:dyDescent="0.25">
      <c r="A961" t="s">
        <v>497</v>
      </c>
      <c r="B961" t="s">
        <v>88</v>
      </c>
      <c r="C961" s="1">
        <v>46048</v>
      </c>
      <c r="D961" t="s">
        <v>1741</v>
      </c>
      <c r="E961" t="s">
        <v>134</v>
      </c>
      <c r="F961" t="s">
        <v>855</v>
      </c>
      <c r="G961" s="14">
        <v>40974.44</v>
      </c>
      <c r="H961">
        <v>1460</v>
      </c>
      <c r="I961">
        <v>28.06</v>
      </c>
      <c r="J961">
        <v>45276.76</v>
      </c>
    </row>
    <row r="962" spans="1:10" x14ac:dyDescent="0.25">
      <c r="A962" t="s">
        <v>1745</v>
      </c>
      <c r="B962" t="s">
        <v>88</v>
      </c>
      <c r="C962" s="1">
        <v>46048</v>
      </c>
      <c r="D962" t="s">
        <v>1748</v>
      </c>
      <c r="E962" t="s">
        <v>205</v>
      </c>
      <c r="F962" t="s">
        <v>855</v>
      </c>
      <c r="G962" s="14">
        <v>86776.86</v>
      </c>
      <c r="H962">
        <v>1460</v>
      </c>
      <c r="I962">
        <v>59.44</v>
      </c>
      <c r="J962">
        <v>105000</v>
      </c>
    </row>
    <row r="963" spans="1:10" x14ac:dyDescent="0.25">
      <c r="A963" t="s">
        <v>1745</v>
      </c>
      <c r="B963" t="s">
        <v>88</v>
      </c>
      <c r="C963" s="1">
        <v>46048</v>
      </c>
      <c r="D963" t="s">
        <v>1749</v>
      </c>
      <c r="E963" t="s">
        <v>205</v>
      </c>
      <c r="F963" t="s">
        <v>855</v>
      </c>
      <c r="G963" s="14">
        <v>24793.39</v>
      </c>
      <c r="H963">
        <v>1460</v>
      </c>
      <c r="I963">
        <v>16.98</v>
      </c>
      <c r="J963">
        <v>30000</v>
      </c>
    </row>
    <row r="964" spans="1:10" x14ac:dyDescent="0.25">
      <c r="A964" t="s">
        <v>510</v>
      </c>
      <c r="B964" t="s">
        <v>96</v>
      </c>
      <c r="C964" s="1">
        <v>46048</v>
      </c>
      <c r="D964" t="s">
        <v>1762</v>
      </c>
      <c r="E964" t="s">
        <v>127</v>
      </c>
      <c r="F964" t="s">
        <v>117</v>
      </c>
      <c r="G964" s="14">
        <v>348.75</v>
      </c>
      <c r="H964">
        <v>1460</v>
      </c>
      <c r="I964">
        <v>0.24</v>
      </c>
      <c r="J964">
        <v>348.75</v>
      </c>
    </row>
    <row r="965" spans="1:10" x14ac:dyDescent="0.25">
      <c r="A965" t="s">
        <v>510</v>
      </c>
      <c r="B965" t="s">
        <v>96</v>
      </c>
      <c r="C965" s="1">
        <v>46048</v>
      </c>
      <c r="D965" t="s">
        <v>1763</v>
      </c>
      <c r="E965" t="s">
        <v>127</v>
      </c>
      <c r="F965" t="s">
        <v>117</v>
      </c>
      <c r="G965" s="14">
        <v>75.81</v>
      </c>
      <c r="H965">
        <v>1460</v>
      </c>
      <c r="I965">
        <v>0.05</v>
      </c>
      <c r="J965">
        <v>75.81</v>
      </c>
    </row>
    <row r="966" spans="1:10" x14ac:dyDescent="0.25">
      <c r="A966" t="s">
        <v>515</v>
      </c>
      <c r="B966" t="s">
        <v>88</v>
      </c>
      <c r="C966" s="1">
        <v>46046</v>
      </c>
      <c r="D966" t="s">
        <v>1773</v>
      </c>
      <c r="E966" t="s">
        <v>184</v>
      </c>
      <c r="F966" t="s">
        <v>33</v>
      </c>
      <c r="G966" s="14">
        <v>66226</v>
      </c>
      <c r="H966">
        <v>1455</v>
      </c>
      <c r="I966">
        <v>45.52</v>
      </c>
      <c r="J966">
        <v>80133.460000000006</v>
      </c>
    </row>
    <row r="967" spans="1:10" x14ac:dyDescent="0.25">
      <c r="A967" t="s">
        <v>1055</v>
      </c>
      <c r="B967" t="s">
        <v>88</v>
      </c>
      <c r="C967" s="1">
        <v>46045</v>
      </c>
      <c r="D967" t="s">
        <v>1560</v>
      </c>
      <c r="E967" t="s">
        <v>90</v>
      </c>
      <c r="F967" t="s">
        <v>91</v>
      </c>
      <c r="G967" s="14">
        <v>43648.98</v>
      </c>
      <c r="H967">
        <v>1455</v>
      </c>
      <c r="I967">
        <v>30</v>
      </c>
      <c r="J967">
        <v>52815.27</v>
      </c>
    </row>
    <row r="968" spans="1:10" x14ac:dyDescent="0.25">
      <c r="A968" t="s">
        <v>1055</v>
      </c>
      <c r="B968" t="s">
        <v>88</v>
      </c>
      <c r="C968" s="1">
        <v>46045</v>
      </c>
      <c r="D968" t="s">
        <v>1560</v>
      </c>
      <c r="E968" t="s">
        <v>92</v>
      </c>
      <c r="F968" t="s">
        <v>91</v>
      </c>
      <c r="G968" s="14">
        <v>7184.73</v>
      </c>
      <c r="H968">
        <v>1455</v>
      </c>
      <c r="I968">
        <v>4.9400000000000004</v>
      </c>
      <c r="J968">
        <v>7184.73</v>
      </c>
    </row>
    <row r="969" spans="1:10" x14ac:dyDescent="0.25">
      <c r="A969" t="s">
        <v>416</v>
      </c>
      <c r="B969" t="s">
        <v>88</v>
      </c>
      <c r="C969" s="1">
        <v>46045</v>
      </c>
      <c r="D969" t="s">
        <v>1668</v>
      </c>
      <c r="E969" t="s">
        <v>205</v>
      </c>
      <c r="F969" t="s">
        <v>109</v>
      </c>
      <c r="G969" s="14">
        <v>7184.3</v>
      </c>
      <c r="H969">
        <v>1455</v>
      </c>
      <c r="I969">
        <v>4.9400000000000004</v>
      </c>
      <c r="J969">
        <v>8693</v>
      </c>
    </row>
    <row r="970" spans="1:10" x14ac:dyDescent="0.25">
      <c r="A970" t="s">
        <v>416</v>
      </c>
      <c r="B970" t="s">
        <v>88</v>
      </c>
      <c r="C970" s="1">
        <v>46045</v>
      </c>
      <c r="D970" t="s">
        <v>1668</v>
      </c>
      <c r="E970" t="s">
        <v>102</v>
      </c>
      <c r="F970" t="s">
        <v>109</v>
      </c>
      <c r="G970" s="14">
        <v>1307</v>
      </c>
      <c r="H970">
        <v>1455</v>
      </c>
      <c r="I970">
        <v>0.9</v>
      </c>
      <c r="J970">
        <v>1307</v>
      </c>
    </row>
    <row r="971" spans="1:10" x14ac:dyDescent="0.25">
      <c r="A971" t="s">
        <v>1694</v>
      </c>
      <c r="B971" t="s">
        <v>88</v>
      </c>
      <c r="C971" s="1">
        <v>46045</v>
      </c>
      <c r="D971" t="s">
        <v>1696</v>
      </c>
      <c r="E971" t="s">
        <v>136</v>
      </c>
      <c r="F971" t="s">
        <v>135</v>
      </c>
      <c r="G971" s="14">
        <v>228300</v>
      </c>
      <c r="H971">
        <v>1455</v>
      </c>
      <c r="I971">
        <v>156.91</v>
      </c>
      <c r="J971">
        <v>228300</v>
      </c>
    </row>
    <row r="972" spans="1:10" x14ac:dyDescent="0.25">
      <c r="A972" t="s">
        <v>1580</v>
      </c>
      <c r="B972" t="s">
        <v>88</v>
      </c>
      <c r="C972" s="1">
        <v>46044</v>
      </c>
      <c r="D972" t="s">
        <v>1581</v>
      </c>
      <c r="E972" t="s">
        <v>136</v>
      </c>
      <c r="F972" t="s">
        <v>855</v>
      </c>
      <c r="G972" s="14">
        <v>64880.39</v>
      </c>
      <c r="H972">
        <v>1450</v>
      </c>
      <c r="I972">
        <v>44.75</v>
      </c>
      <c r="J972">
        <v>78505.27</v>
      </c>
    </row>
    <row r="973" spans="1:10" x14ac:dyDescent="0.25">
      <c r="A973" t="s">
        <v>426</v>
      </c>
      <c r="B973" t="s">
        <v>88</v>
      </c>
      <c r="C973" s="1">
        <v>46044</v>
      </c>
      <c r="D973" t="s">
        <v>1691</v>
      </c>
      <c r="E973" t="s">
        <v>136</v>
      </c>
      <c r="F973" t="s">
        <v>8</v>
      </c>
      <c r="G973" s="14">
        <v>182633.2</v>
      </c>
      <c r="H973">
        <v>1450</v>
      </c>
      <c r="I973">
        <v>125.95</v>
      </c>
      <c r="J973">
        <v>220986.17</v>
      </c>
    </row>
    <row r="974" spans="1:10" x14ac:dyDescent="0.25">
      <c r="A974" t="s">
        <v>426</v>
      </c>
      <c r="B974" t="s">
        <v>88</v>
      </c>
      <c r="C974" s="1">
        <v>46044</v>
      </c>
      <c r="D974" t="s">
        <v>1692</v>
      </c>
      <c r="E974" t="s">
        <v>134</v>
      </c>
      <c r="F974" t="s">
        <v>855</v>
      </c>
      <c r="G974" s="14">
        <v>7347.61</v>
      </c>
      <c r="H974">
        <v>1450</v>
      </c>
      <c r="I974">
        <v>5.07</v>
      </c>
      <c r="J974">
        <v>8119.11</v>
      </c>
    </row>
    <row r="975" spans="1:10" x14ac:dyDescent="0.25">
      <c r="A975" t="s">
        <v>426</v>
      </c>
      <c r="B975" t="s">
        <v>88</v>
      </c>
      <c r="C975" s="1">
        <v>46044</v>
      </c>
      <c r="D975" t="s">
        <v>1692</v>
      </c>
      <c r="E975" t="s">
        <v>134</v>
      </c>
      <c r="F975" t="s">
        <v>24</v>
      </c>
      <c r="G975" s="14">
        <v>3673.81</v>
      </c>
      <c r="H975">
        <v>1450</v>
      </c>
      <c r="I975">
        <v>2.5299999999999998</v>
      </c>
      <c r="J975">
        <v>4059.56</v>
      </c>
    </row>
    <row r="976" spans="1:10" x14ac:dyDescent="0.25">
      <c r="A976" t="s">
        <v>426</v>
      </c>
      <c r="B976" t="s">
        <v>88</v>
      </c>
      <c r="C976" s="1">
        <v>46044</v>
      </c>
      <c r="D976" t="s">
        <v>1692</v>
      </c>
      <c r="E976" t="s">
        <v>134</v>
      </c>
      <c r="F976" t="s">
        <v>33</v>
      </c>
      <c r="G976" s="14">
        <v>111438.82</v>
      </c>
      <c r="H976">
        <v>1450</v>
      </c>
      <c r="I976">
        <v>76.849999999999994</v>
      </c>
      <c r="J976">
        <v>123139.9</v>
      </c>
    </row>
    <row r="977" spans="1:10" x14ac:dyDescent="0.25">
      <c r="A977" t="s">
        <v>426</v>
      </c>
      <c r="B977" t="s">
        <v>88</v>
      </c>
      <c r="C977" s="1">
        <v>46044</v>
      </c>
      <c r="D977" t="s">
        <v>1692</v>
      </c>
      <c r="E977" t="s">
        <v>136</v>
      </c>
      <c r="F977" t="s">
        <v>855</v>
      </c>
      <c r="G977" s="14">
        <v>120788.86</v>
      </c>
      <c r="H977">
        <v>1450</v>
      </c>
      <c r="I977">
        <v>83.3</v>
      </c>
      <c r="J977">
        <v>146154.51999999999</v>
      </c>
    </row>
    <row r="978" spans="1:10" x14ac:dyDescent="0.25">
      <c r="A978" t="s">
        <v>426</v>
      </c>
      <c r="B978" t="s">
        <v>88</v>
      </c>
      <c r="C978" s="1">
        <v>46044</v>
      </c>
      <c r="D978" t="s">
        <v>1692</v>
      </c>
      <c r="E978" t="s">
        <v>136</v>
      </c>
      <c r="F978" t="s">
        <v>24</v>
      </c>
      <c r="G978" s="14">
        <v>60394.43</v>
      </c>
      <c r="H978">
        <v>1450</v>
      </c>
      <c r="I978">
        <v>41.65</v>
      </c>
      <c r="J978">
        <v>73077.259999999995</v>
      </c>
    </row>
    <row r="979" spans="1:10" x14ac:dyDescent="0.25">
      <c r="A979" t="s">
        <v>426</v>
      </c>
      <c r="B979" t="s">
        <v>88</v>
      </c>
      <c r="C979" s="1">
        <v>46044</v>
      </c>
      <c r="D979" t="s">
        <v>1692</v>
      </c>
      <c r="E979" t="s">
        <v>136</v>
      </c>
      <c r="F979" t="s">
        <v>33</v>
      </c>
      <c r="G979" s="14">
        <v>1831964.4</v>
      </c>
      <c r="H979">
        <v>1450</v>
      </c>
      <c r="I979">
        <v>1263.42</v>
      </c>
      <c r="J979">
        <v>2216676.92</v>
      </c>
    </row>
    <row r="980" spans="1:10" x14ac:dyDescent="0.25">
      <c r="A980" t="s">
        <v>161</v>
      </c>
      <c r="B980" t="s">
        <v>88</v>
      </c>
      <c r="C980" s="1">
        <v>46043</v>
      </c>
      <c r="D980" t="s">
        <v>1542</v>
      </c>
      <c r="E980" t="s">
        <v>136</v>
      </c>
      <c r="F980" t="s">
        <v>855</v>
      </c>
      <c r="G980" s="14">
        <v>222987.55</v>
      </c>
      <c r="H980">
        <v>1455</v>
      </c>
      <c r="I980">
        <v>153.26</v>
      </c>
      <c r="J980">
        <v>269813.84000000003</v>
      </c>
    </row>
    <row r="981" spans="1:10" x14ac:dyDescent="0.25">
      <c r="A981" t="s">
        <v>161</v>
      </c>
      <c r="B981" t="s">
        <v>88</v>
      </c>
      <c r="C981" s="1">
        <v>46043</v>
      </c>
      <c r="D981" t="s">
        <v>1542</v>
      </c>
      <c r="E981" t="s">
        <v>136</v>
      </c>
      <c r="F981" t="s">
        <v>135</v>
      </c>
      <c r="G981" s="14">
        <v>33210.910000000003</v>
      </c>
      <c r="H981">
        <v>1455</v>
      </c>
      <c r="I981">
        <v>22.83</v>
      </c>
      <c r="J981">
        <v>40185.040000000001</v>
      </c>
    </row>
    <row r="982" spans="1:10" x14ac:dyDescent="0.25">
      <c r="A982" t="s">
        <v>161</v>
      </c>
      <c r="B982" t="s">
        <v>88</v>
      </c>
      <c r="C982" s="1">
        <v>46043</v>
      </c>
      <c r="D982" t="s">
        <v>1542</v>
      </c>
      <c r="E982" t="s">
        <v>136</v>
      </c>
      <c r="F982" t="s">
        <v>33</v>
      </c>
      <c r="G982" s="14">
        <v>218243.14</v>
      </c>
      <c r="H982">
        <v>1455</v>
      </c>
      <c r="I982">
        <v>150</v>
      </c>
      <c r="J982">
        <v>264073.12</v>
      </c>
    </row>
    <row r="983" spans="1:10" x14ac:dyDescent="0.25">
      <c r="A983" t="s">
        <v>850</v>
      </c>
      <c r="B983" t="s">
        <v>88</v>
      </c>
      <c r="C983" s="1">
        <v>46043</v>
      </c>
      <c r="D983" t="s">
        <v>1736</v>
      </c>
      <c r="E983" t="s">
        <v>90</v>
      </c>
      <c r="F983" t="s">
        <v>91</v>
      </c>
      <c r="G983" s="14">
        <v>100173.45</v>
      </c>
      <c r="H983">
        <v>1455</v>
      </c>
      <c r="I983">
        <v>68.849999999999994</v>
      </c>
      <c r="J983">
        <v>121209.87</v>
      </c>
    </row>
    <row r="984" spans="1:10" x14ac:dyDescent="0.25">
      <c r="A984" t="s">
        <v>850</v>
      </c>
      <c r="B984" t="s">
        <v>88</v>
      </c>
      <c r="C984" s="1">
        <v>46043</v>
      </c>
      <c r="D984" t="s">
        <v>1736</v>
      </c>
      <c r="E984" t="s">
        <v>92</v>
      </c>
      <c r="F984" t="s">
        <v>91</v>
      </c>
      <c r="G984" s="14">
        <v>8790.2000000000007</v>
      </c>
      <c r="H984">
        <v>1455</v>
      </c>
      <c r="I984">
        <v>6.04</v>
      </c>
      <c r="J984">
        <v>8790.2000000000007</v>
      </c>
    </row>
    <row r="985" spans="1:10" x14ac:dyDescent="0.25">
      <c r="A985" t="s">
        <v>1601</v>
      </c>
      <c r="B985" t="s">
        <v>88</v>
      </c>
      <c r="C985" s="1">
        <v>46042</v>
      </c>
      <c r="D985" t="s">
        <v>1602</v>
      </c>
      <c r="E985" t="s">
        <v>138</v>
      </c>
      <c r="F985" t="s">
        <v>139</v>
      </c>
      <c r="G985" s="14">
        <v>505249</v>
      </c>
      <c r="H985">
        <v>1460</v>
      </c>
      <c r="I985">
        <v>346.06</v>
      </c>
      <c r="J985">
        <v>611351.29</v>
      </c>
    </row>
    <row r="986" spans="1:10" x14ac:dyDescent="0.25">
      <c r="A986" t="s">
        <v>1645</v>
      </c>
      <c r="B986" t="s">
        <v>96</v>
      </c>
      <c r="C986" s="1">
        <v>46042</v>
      </c>
      <c r="D986" t="s">
        <v>1650</v>
      </c>
      <c r="E986" t="s">
        <v>1647</v>
      </c>
      <c r="F986" t="s">
        <v>85</v>
      </c>
      <c r="G986" s="14">
        <v>92267.99</v>
      </c>
      <c r="H986">
        <v>1460</v>
      </c>
      <c r="I986">
        <v>63.2</v>
      </c>
      <c r="J986">
        <v>92267.99</v>
      </c>
    </row>
    <row r="987" spans="1:10" x14ac:dyDescent="0.25">
      <c r="A987" t="s">
        <v>1645</v>
      </c>
      <c r="B987" t="s">
        <v>96</v>
      </c>
      <c r="C987" s="1">
        <v>46042</v>
      </c>
      <c r="D987" t="s">
        <v>1651</v>
      </c>
      <c r="E987" t="s">
        <v>1647</v>
      </c>
      <c r="F987" t="s">
        <v>85</v>
      </c>
      <c r="G987" s="14">
        <v>54100.2</v>
      </c>
      <c r="H987">
        <v>1460</v>
      </c>
      <c r="I987">
        <v>37.049999999999997</v>
      </c>
      <c r="J987">
        <v>54100.2</v>
      </c>
    </row>
    <row r="988" spans="1:10" x14ac:dyDescent="0.25">
      <c r="A988" t="s">
        <v>1645</v>
      </c>
      <c r="B988" t="s">
        <v>96</v>
      </c>
      <c r="C988" s="1">
        <v>46042</v>
      </c>
      <c r="D988" t="s">
        <v>1652</v>
      </c>
      <c r="E988" t="s">
        <v>1647</v>
      </c>
      <c r="F988" t="s">
        <v>85</v>
      </c>
      <c r="G988" s="14">
        <v>53828.6</v>
      </c>
      <c r="H988">
        <v>1460</v>
      </c>
      <c r="I988">
        <v>36.869999999999997</v>
      </c>
      <c r="J988">
        <v>53828.6</v>
      </c>
    </row>
    <row r="989" spans="1:10" x14ac:dyDescent="0.25">
      <c r="A989" t="s">
        <v>464</v>
      </c>
      <c r="B989" t="s">
        <v>88</v>
      </c>
      <c r="C989" s="1">
        <v>46042</v>
      </c>
      <c r="D989" t="s">
        <v>1710</v>
      </c>
      <c r="E989" t="s">
        <v>136</v>
      </c>
      <c r="F989" t="s">
        <v>855</v>
      </c>
      <c r="G989" s="14">
        <v>21427.200000000001</v>
      </c>
      <c r="H989">
        <v>1460</v>
      </c>
      <c r="I989">
        <v>14.68</v>
      </c>
      <c r="J989">
        <v>25926.91</v>
      </c>
    </row>
    <row r="990" spans="1:10" x14ac:dyDescent="0.25">
      <c r="A990" t="s">
        <v>466</v>
      </c>
      <c r="B990" t="s">
        <v>88</v>
      </c>
      <c r="C990" s="1">
        <v>46042</v>
      </c>
      <c r="D990" t="s">
        <v>1716</v>
      </c>
      <c r="E990" t="s">
        <v>136</v>
      </c>
      <c r="F990" t="s">
        <v>855</v>
      </c>
      <c r="G990" s="14">
        <v>126020.8</v>
      </c>
      <c r="H990">
        <v>1460</v>
      </c>
      <c r="I990">
        <v>86.32</v>
      </c>
      <c r="J990">
        <v>152487.35</v>
      </c>
    </row>
    <row r="991" spans="1:10" x14ac:dyDescent="0.25">
      <c r="A991" t="s">
        <v>400</v>
      </c>
      <c r="B991" t="s">
        <v>88</v>
      </c>
      <c r="C991" s="1">
        <v>46041</v>
      </c>
      <c r="D991" t="s">
        <v>1655</v>
      </c>
      <c r="E991" t="s">
        <v>184</v>
      </c>
      <c r="F991" t="s">
        <v>855</v>
      </c>
      <c r="G991" s="14">
        <v>31759.65</v>
      </c>
      <c r="H991">
        <v>1460</v>
      </c>
      <c r="I991">
        <v>21.75</v>
      </c>
      <c r="J991">
        <v>38429.18</v>
      </c>
    </row>
    <row r="992" spans="1:10" x14ac:dyDescent="0.25">
      <c r="A992" t="s">
        <v>400</v>
      </c>
      <c r="B992" t="s">
        <v>88</v>
      </c>
      <c r="C992" s="1">
        <v>46041</v>
      </c>
      <c r="D992" t="s">
        <v>1655</v>
      </c>
      <c r="E992" t="s">
        <v>184</v>
      </c>
      <c r="F992" t="s">
        <v>25</v>
      </c>
      <c r="G992" s="14">
        <v>21929.29</v>
      </c>
      <c r="H992">
        <v>1460</v>
      </c>
      <c r="I992">
        <v>15.02</v>
      </c>
      <c r="J992">
        <v>26534.44</v>
      </c>
    </row>
    <row r="993" spans="1:10" x14ac:dyDescent="0.25">
      <c r="A993" t="s">
        <v>1605</v>
      </c>
      <c r="B993" t="s">
        <v>88</v>
      </c>
      <c r="C993" s="1">
        <v>46038</v>
      </c>
      <c r="D993" t="s">
        <v>1606</v>
      </c>
      <c r="E993" t="s">
        <v>136</v>
      </c>
      <c r="F993" t="s">
        <v>25</v>
      </c>
      <c r="G993" s="14">
        <v>721206.09</v>
      </c>
      <c r="H993">
        <v>1455</v>
      </c>
      <c r="I993">
        <v>495.67</v>
      </c>
      <c r="J993">
        <v>872655.19</v>
      </c>
    </row>
    <row r="994" spans="1:10" x14ac:dyDescent="0.25">
      <c r="A994" t="s">
        <v>1664</v>
      </c>
      <c r="B994" t="s">
        <v>88</v>
      </c>
      <c r="C994" s="1">
        <v>46038</v>
      </c>
      <c r="D994" t="s">
        <v>1667</v>
      </c>
      <c r="E994" t="s">
        <v>686</v>
      </c>
      <c r="F994" t="s">
        <v>1212</v>
      </c>
      <c r="G994" s="14">
        <v>100000</v>
      </c>
      <c r="H994">
        <v>1455</v>
      </c>
      <c r="I994">
        <v>68.73</v>
      </c>
      <c r="J994">
        <v>100000</v>
      </c>
    </row>
    <row r="995" spans="1:10" x14ac:dyDescent="0.25">
      <c r="A995" t="s">
        <v>871</v>
      </c>
      <c r="B995" t="s">
        <v>88</v>
      </c>
      <c r="C995" s="1">
        <v>46038</v>
      </c>
      <c r="D995" t="s">
        <v>1752</v>
      </c>
      <c r="E995" t="s">
        <v>136</v>
      </c>
      <c r="F995" t="s">
        <v>855</v>
      </c>
      <c r="G995" s="14">
        <v>3059243</v>
      </c>
      <c r="H995">
        <v>1455</v>
      </c>
      <c r="I995">
        <v>2102.5700000000002</v>
      </c>
      <c r="J995">
        <v>3701684.03</v>
      </c>
    </row>
    <row r="996" spans="1:10" x14ac:dyDescent="0.25">
      <c r="A996" t="s">
        <v>871</v>
      </c>
      <c r="B996" t="s">
        <v>88</v>
      </c>
      <c r="C996" s="1">
        <v>46038</v>
      </c>
      <c r="D996" t="s">
        <v>1753</v>
      </c>
      <c r="E996" t="s">
        <v>136</v>
      </c>
      <c r="F996" t="s">
        <v>855</v>
      </c>
      <c r="G996" s="14">
        <v>3429580</v>
      </c>
      <c r="H996">
        <v>1455</v>
      </c>
      <c r="I996">
        <v>2357.1</v>
      </c>
      <c r="J996">
        <v>4149791.8</v>
      </c>
    </row>
    <row r="997" spans="1:10" x14ac:dyDescent="0.25">
      <c r="A997" t="s">
        <v>367</v>
      </c>
      <c r="B997" t="s">
        <v>88</v>
      </c>
      <c r="C997" s="1">
        <v>46037</v>
      </c>
      <c r="D997" t="s">
        <v>1637</v>
      </c>
      <c r="E997" t="s">
        <v>215</v>
      </c>
      <c r="F997" t="s">
        <v>109</v>
      </c>
      <c r="G997" s="14">
        <v>33300.300000000003</v>
      </c>
      <c r="H997">
        <v>1470</v>
      </c>
      <c r="I997">
        <v>22.65</v>
      </c>
      <c r="J997">
        <v>40293.360000000001</v>
      </c>
    </row>
    <row r="998" spans="1:10" x14ac:dyDescent="0.25">
      <c r="A998" t="s">
        <v>367</v>
      </c>
      <c r="B998" t="s">
        <v>88</v>
      </c>
      <c r="C998" s="1">
        <v>46037</v>
      </c>
      <c r="D998" t="s">
        <v>1637</v>
      </c>
      <c r="E998" t="s">
        <v>1535</v>
      </c>
      <c r="F998" t="s">
        <v>109</v>
      </c>
      <c r="G998" s="14">
        <v>85.89</v>
      </c>
      <c r="H998">
        <v>1470</v>
      </c>
      <c r="I998">
        <v>0.06</v>
      </c>
      <c r="J998">
        <v>85.89</v>
      </c>
    </row>
    <row r="999" spans="1:10" x14ac:dyDescent="0.25">
      <c r="A999" t="s">
        <v>1263</v>
      </c>
      <c r="B999" t="s">
        <v>88</v>
      </c>
      <c r="C999" s="1">
        <v>46037</v>
      </c>
      <c r="D999" t="s">
        <v>1676</v>
      </c>
      <c r="E999" t="s">
        <v>102</v>
      </c>
      <c r="F999" t="s">
        <v>855</v>
      </c>
      <c r="G999" s="14">
        <v>68370</v>
      </c>
      <c r="H999">
        <v>1470</v>
      </c>
      <c r="I999">
        <v>46.51</v>
      </c>
      <c r="J999">
        <v>68370</v>
      </c>
    </row>
    <row r="1000" spans="1:10" x14ac:dyDescent="0.25">
      <c r="A1000" t="s">
        <v>246</v>
      </c>
      <c r="B1000" t="s">
        <v>88</v>
      </c>
      <c r="C1000" s="1">
        <v>46036</v>
      </c>
      <c r="D1000" t="s">
        <v>1566</v>
      </c>
      <c r="E1000" t="s">
        <v>114</v>
      </c>
      <c r="F1000" t="s">
        <v>117</v>
      </c>
      <c r="G1000" s="14">
        <v>5199.91</v>
      </c>
      <c r="H1000">
        <v>1480</v>
      </c>
      <c r="I1000">
        <v>3.51</v>
      </c>
      <c r="J1000">
        <v>6291.9</v>
      </c>
    </row>
    <row r="1001" spans="1:10" x14ac:dyDescent="0.25">
      <c r="A1001" t="s">
        <v>1578</v>
      </c>
      <c r="B1001" t="s">
        <v>88</v>
      </c>
      <c r="C1001" s="1">
        <v>46036</v>
      </c>
      <c r="D1001" t="s">
        <v>1579</v>
      </c>
      <c r="E1001" t="s">
        <v>136</v>
      </c>
      <c r="F1001" t="s">
        <v>855</v>
      </c>
      <c r="G1001" s="14">
        <v>62809.919999999998</v>
      </c>
      <c r="H1001">
        <v>1480</v>
      </c>
      <c r="I1001">
        <v>42.44</v>
      </c>
      <c r="J1001">
        <v>76000</v>
      </c>
    </row>
    <row r="1002" spans="1:10" x14ac:dyDescent="0.25">
      <c r="A1002" t="s">
        <v>361</v>
      </c>
      <c r="B1002" t="s">
        <v>88</v>
      </c>
      <c r="C1002" s="1">
        <v>46036</v>
      </c>
      <c r="D1002" t="s">
        <v>1625</v>
      </c>
      <c r="E1002" t="s">
        <v>136</v>
      </c>
      <c r="F1002" t="s">
        <v>855</v>
      </c>
      <c r="G1002" s="14">
        <v>292787.58</v>
      </c>
      <c r="H1002">
        <v>1480</v>
      </c>
      <c r="I1002">
        <v>197.83</v>
      </c>
      <c r="J1002">
        <v>354272.97</v>
      </c>
    </row>
    <row r="1003" spans="1:10" x14ac:dyDescent="0.25">
      <c r="A1003" t="s">
        <v>1251</v>
      </c>
      <c r="B1003" t="s">
        <v>88</v>
      </c>
      <c r="C1003" s="1">
        <v>46036</v>
      </c>
      <c r="D1003" t="s">
        <v>1673</v>
      </c>
      <c r="E1003" t="s">
        <v>136</v>
      </c>
      <c r="F1003" t="s">
        <v>24</v>
      </c>
      <c r="G1003" s="14">
        <v>456399.9</v>
      </c>
      <c r="H1003">
        <v>1480</v>
      </c>
      <c r="I1003">
        <v>308.38</v>
      </c>
      <c r="J1003">
        <v>552241.80000000005</v>
      </c>
    </row>
    <row r="1004" spans="1:10" hidden="1" x14ac:dyDescent="0.25">
      <c r="A1004" t="s">
        <v>125</v>
      </c>
      <c r="B1004" t="s">
        <v>88</v>
      </c>
      <c r="C1004" s="1">
        <v>46022</v>
      </c>
      <c r="D1004" t="s">
        <v>1522</v>
      </c>
      <c r="E1004" t="s">
        <v>114</v>
      </c>
      <c r="F1004" t="s">
        <v>117</v>
      </c>
      <c r="G1004" s="14">
        <v>3750.12</v>
      </c>
      <c r="H1004">
        <v>1480</v>
      </c>
      <c r="I1004">
        <v>2.5299999999999998</v>
      </c>
      <c r="J1004">
        <v>4537.6499999999996</v>
      </c>
    </row>
    <row r="1005" spans="1:10" hidden="1" x14ac:dyDescent="0.25">
      <c r="A1005" t="s">
        <v>125</v>
      </c>
      <c r="B1005" t="s">
        <v>88</v>
      </c>
      <c r="C1005" s="1">
        <v>46022</v>
      </c>
      <c r="D1005" t="s">
        <v>1522</v>
      </c>
      <c r="E1005" t="s">
        <v>127</v>
      </c>
      <c r="F1005" t="s">
        <v>117</v>
      </c>
      <c r="G1005" s="14">
        <v>375.02</v>
      </c>
      <c r="H1005">
        <v>1480</v>
      </c>
      <c r="I1005">
        <v>0.25</v>
      </c>
      <c r="J1005">
        <v>375.02</v>
      </c>
    </row>
    <row r="1006" spans="1:10" hidden="1" x14ac:dyDescent="0.25">
      <c r="A1006" t="s">
        <v>173</v>
      </c>
      <c r="B1006" t="s">
        <v>145</v>
      </c>
      <c r="C1006" s="1">
        <v>46022</v>
      </c>
      <c r="D1006" t="s">
        <v>1553</v>
      </c>
      <c r="E1006" t="s">
        <v>1554</v>
      </c>
      <c r="G1006" s="14">
        <v>2081</v>
      </c>
      <c r="H1006">
        <v>1480</v>
      </c>
      <c r="I1006">
        <v>1.41</v>
      </c>
      <c r="J1006">
        <v>2081</v>
      </c>
    </row>
    <row r="1007" spans="1:10" hidden="1" x14ac:dyDescent="0.25">
      <c r="A1007" t="s">
        <v>349</v>
      </c>
      <c r="B1007" t="s">
        <v>88</v>
      </c>
      <c r="C1007" s="1">
        <v>46022</v>
      </c>
      <c r="D1007" t="s">
        <v>1624</v>
      </c>
      <c r="E1007" t="s">
        <v>102</v>
      </c>
      <c r="F1007" t="s">
        <v>109</v>
      </c>
      <c r="G1007" s="14">
        <v>192754.08</v>
      </c>
      <c r="H1007">
        <v>1480</v>
      </c>
      <c r="I1007">
        <v>130.24</v>
      </c>
      <c r="J1007">
        <v>192754.08</v>
      </c>
    </row>
    <row r="1008" spans="1:10" hidden="1" x14ac:dyDescent="0.25">
      <c r="A1008" t="s">
        <v>400</v>
      </c>
      <c r="B1008" t="s">
        <v>88</v>
      </c>
      <c r="C1008" s="1">
        <v>46022</v>
      </c>
      <c r="D1008" t="s">
        <v>1663</v>
      </c>
      <c r="E1008" t="s">
        <v>184</v>
      </c>
      <c r="F1008" t="s">
        <v>855</v>
      </c>
      <c r="G1008" s="14">
        <v>46652.01</v>
      </c>
      <c r="H1008">
        <v>1480</v>
      </c>
      <c r="I1008">
        <v>31.52</v>
      </c>
      <c r="J1008">
        <v>56448.93</v>
      </c>
    </row>
    <row r="1009" spans="1:10" hidden="1" x14ac:dyDescent="0.25">
      <c r="A1009" t="s">
        <v>1055</v>
      </c>
      <c r="B1009" t="s">
        <v>88</v>
      </c>
      <c r="C1009" s="1">
        <v>46021</v>
      </c>
      <c r="D1009" t="s">
        <v>1561</v>
      </c>
      <c r="E1009" t="s">
        <v>90</v>
      </c>
      <c r="F1009" t="s">
        <v>91</v>
      </c>
      <c r="G1009" s="14">
        <v>13873.18</v>
      </c>
      <c r="H1009">
        <v>1480</v>
      </c>
      <c r="I1009">
        <v>9.3699999999999992</v>
      </c>
      <c r="J1009">
        <v>16786.560000000001</v>
      </c>
    </row>
    <row r="1010" spans="1:10" hidden="1" x14ac:dyDescent="0.25">
      <c r="A1010" t="s">
        <v>1055</v>
      </c>
      <c r="B1010" t="s">
        <v>88</v>
      </c>
      <c r="C1010" s="1">
        <v>46021</v>
      </c>
      <c r="D1010" t="s">
        <v>1561</v>
      </c>
      <c r="E1010" t="s">
        <v>92</v>
      </c>
      <c r="F1010" t="s">
        <v>91</v>
      </c>
      <c r="G1010" s="14">
        <v>3213.44</v>
      </c>
      <c r="H1010">
        <v>1480</v>
      </c>
      <c r="I1010">
        <v>2.17</v>
      </c>
      <c r="J1010">
        <v>3213.44</v>
      </c>
    </row>
    <row r="1011" spans="1:10" hidden="1" x14ac:dyDescent="0.25">
      <c r="A1011" t="s">
        <v>466</v>
      </c>
      <c r="B1011" t="s">
        <v>470</v>
      </c>
      <c r="C1011" s="1">
        <v>46021</v>
      </c>
      <c r="D1011" t="s">
        <v>1720</v>
      </c>
      <c r="E1011" t="s">
        <v>944</v>
      </c>
      <c r="F1011" t="s">
        <v>945</v>
      </c>
      <c r="G1011" s="14">
        <v>508158.85</v>
      </c>
      <c r="H1011">
        <v>1480</v>
      </c>
      <c r="I1011">
        <v>343.35</v>
      </c>
      <c r="J1011">
        <v>614872.21</v>
      </c>
    </row>
    <row r="1012" spans="1:10" hidden="1" x14ac:dyDescent="0.25">
      <c r="A1012" t="s">
        <v>521</v>
      </c>
      <c r="B1012" t="s">
        <v>88</v>
      </c>
      <c r="C1012" s="1">
        <v>46021</v>
      </c>
      <c r="D1012" t="s">
        <v>1776</v>
      </c>
      <c r="E1012" t="s">
        <v>136</v>
      </c>
      <c r="F1012" t="s">
        <v>855</v>
      </c>
      <c r="G1012" s="14">
        <v>19700</v>
      </c>
      <c r="H1012">
        <v>1480</v>
      </c>
      <c r="I1012">
        <v>13.31</v>
      </c>
      <c r="J1012">
        <v>23837</v>
      </c>
    </row>
    <row r="1013" spans="1:10" hidden="1" x14ac:dyDescent="0.25">
      <c r="A1013" t="s">
        <v>161</v>
      </c>
      <c r="B1013" t="s">
        <v>88</v>
      </c>
      <c r="C1013" s="1">
        <v>46020</v>
      </c>
      <c r="D1013" t="s">
        <v>1547</v>
      </c>
      <c r="E1013" t="s">
        <v>136</v>
      </c>
      <c r="F1013" t="s">
        <v>855</v>
      </c>
      <c r="G1013" s="14">
        <v>1226595.25</v>
      </c>
      <c r="H1013">
        <v>1475</v>
      </c>
      <c r="I1013">
        <v>831.59</v>
      </c>
      <c r="J1013">
        <v>1484174.5</v>
      </c>
    </row>
    <row r="1014" spans="1:10" hidden="1" x14ac:dyDescent="0.25">
      <c r="A1014" t="s">
        <v>246</v>
      </c>
      <c r="B1014" t="s">
        <v>88</v>
      </c>
      <c r="C1014" s="1">
        <v>46020</v>
      </c>
      <c r="D1014" t="s">
        <v>1572</v>
      </c>
      <c r="E1014" t="s">
        <v>114</v>
      </c>
      <c r="F1014" t="s">
        <v>117</v>
      </c>
      <c r="G1014" s="14">
        <v>23919.59</v>
      </c>
      <c r="H1014">
        <v>1475</v>
      </c>
      <c r="I1014">
        <v>16.22</v>
      </c>
      <c r="J1014">
        <v>28942.7</v>
      </c>
    </row>
    <row r="1015" spans="1:10" hidden="1" x14ac:dyDescent="0.25">
      <c r="A1015" t="s">
        <v>289</v>
      </c>
      <c r="B1015" t="s">
        <v>88</v>
      </c>
      <c r="C1015" s="1">
        <v>46020</v>
      </c>
      <c r="D1015" t="s">
        <v>1597</v>
      </c>
      <c r="E1015" t="s">
        <v>138</v>
      </c>
      <c r="F1015" t="s">
        <v>139</v>
      </c>
      <c r="G1015" s="14">
        <v>72341</v>
      </c>
      <c r="H1015">
        <v>1475</v>
      </c>
      <c r="I1015">
        <v>49.04</v>
      </c>
      <c r="J1015">
        <v>87532.61</v>
      </c>
    </row>
    <row r="1016" spans="1:10" hidden="1" x14ac:dyDescent="0.25">
      <c r="A1016" t="s">
        <v>393</v>
      </c>
      <c r="B1016" t="s">
        <v>88</v>
      </c>
      <c r="C1016" s="1">
        <v>46020</v>
      </c>
      <c r="D1016" t="s">
        <v>1644</v>
      </c>
      <c r="E1016" t="s">
        <v>205</v>
      </c>
      <c r="F1016" t="s">
        <v>206</v>
      </c>
      <c r="G1016" s="14">
        <v>143934</v>
      </c>
      <c r="H1016">
        <v>1475</v>
      </c>
      <c r="I1016">
        <v>97.58</v>
      </c>
      <c r="J1016">
        <v>174160.14</v>
      </c>
    </row>
    <row r="1017" spans="1:10" hidden="1" x14ac:dyDescent="0.25">
      <c r="A1017" t="s">
        <v>466</v>
      </c>
      <c r="B1017" t="s">
        <v>88</v>
      </c>
      <c r="C1017" s="1">
        <v>46020</v>
      </c>
      <c r="D1017" t="s">
        <v>1718</v>
      </c>
      <c r="E1017" t="s">
        <v>136</v>
      </c>
      <c r="F1017" t="s">
        <v>855</v>
      </c>
      <c r="G1017" s="14">
        <v>25128.25</v>
      </c>
      <c r="H1017">
        <v>1475</v>
      </c>
      <c r="I1017">
        <v>17.04</v>
      </c>
      <c r="J1017">
        <v>30400.82</v>
      </c>
    </row>
    <row r="1018" spans="1:10" hidden="1" x14ac:dyDescent="0.25">
      <c r="A1018" t="s">
        <v>1523</v>
      </c>
      <c r="B1018" t="s">
        <v>96</v>
      </c>
      <c r="C1018" s="1">
        <v>46018</v>
      </c>
      <c r="D1018" t="s">
        <v>1524</v>
      </c>
      <c r="E1018" t="s">
        <v>102</v>
      </c>
      <c r="F1018" t="s">
        <v>109</v>
      </c>
      <c r="G1018" s="14">
        <v>567450</v>
      </c>
      <c r="H1018">
        <v>1475</v>
      </c>
      <c r="I1018">
        <v>384.71</v>
      </c>
      <c r="J1018">
        <v>567450</v>
      </c>
    </row>
    <row r="1019" spans="1:10" hidden="1" x14ac:dyDescent="0.25">
      <c r="A1019" t="s">
        <v>246</v>
      </c>
      <c r="B1019" t="s">
        <v>88</v>
      </c>
      <c r="C1019" s="1">
        <v>46018</v>
      </c>
      <c r="D1019" t="s">
        <v>1569</v>
      </c>
      <c r="E1019" t="s">
        <v>114</v>
      </c>
      <c r="F1019" t="s">
        <v>117</v>
      </c>
      <c r="G1019" s="14">
        <v>3951.93</v>
      </c>
      <c r="H1019">
        <v>1475</v>
      </c>
      <c r="I1019">
        <v>2.68</v>
      </c>
      <c r="J1019">
        <v>4781.84</v>
      </c>
    </row>
    <row r="1020" spans="1:10" hidden="1" x14ac:dyDescent="0.25">
      <c r="A1020" t="s">
        <v>400</v>
      </c>
      <c r="B1020" t="s">
        <v>88</v>
      </c>
      <c r="C1020" s="1">
        <v>46017</v>
      </c>
      <c r="D1020" t="s">
        <v>1658</v>
      </c>
      <c r="E1020" t="s">
        <v>184</v>
      </c>
      <c r="F1020" t="s">
        <v>855</v>
      </c>
      <c r="G1020" s="14">
        <v>257018.04</v>
      </c>
      <c r="H1020">
        <v>1475</v>
      </c>
      <c r="I1020">
        <v>174.25</v>
      </c>
      <c r="J1020">
        <v>310991.83</v>
      </c>
    </row>
    <row r="1021" spans="1:10" hidden="1" x14ac:dyDescent="0.25">
      <c r="A1021" t="s">
        <v>400</v>
      </c>
      <c r="B1021" t="s">
        <v>88</v>
      </c>
      <c r="C1021" s="1">
        <v>46017</v>
      </c>
      <c r="D1021" t="s">
        <v>1658</v>
      </c>
      <c r="E1021" t="s">
        <v>184</v>
      </c>
      <c r="F1021" t="s">
        <v>13</v>
      </c>
      <c r="G1021" s="14">
        <v>3212.73</v>
      </c>
      <c r="H1021">
        <v>1475</v>
      </c>
      <c r="I1021">
        <v>2.1800000000000002</v>
      </c>
      <c r="J1021">
        <v>3887.4</v>
      </c>
    </row>
    <row r="1022" spans="1:10" hidden="1" x14ac:dyDescent="0.25">
      <c r="A1022" t="s">
        <v>400</v>
      </c>
      <c r="B1022" t="s">
        <v>88</v>
      </c>
      <c r="C1022" s="1">
        <v>46017</v>
      </c>
      <c r="D1022" t="s">
        <v>1658</v>
      </c>
      <c r="E1022" t="s">
        <v>184</v>
      </c>
      <c r="F1022" t="s">
        <v>24</v>
      </c>
      <c r="G1022" s="14">
        <v>32127.25</v>
      </c>
      <c r="H1022">
        <v>1475</v>
      </c>
      <c r="I1022">
        <v>21.78</v>
      </c>
      <c r="J1022">
        <v>38873.97</v>
      </c>
    </row>
    <row r="1023" spans="1:10" hidden="1" x14ac:dyDescent="0.25">
      <c r="A1023" t="s">
        <v>400</v>
      </c>
      <c r="B1023" t="s">
        <v>88</v>
      </c>
      <c r="C1023" s="1">
        <v>46017</v>
      </c>
      <c r="D1023" t="s">
        <v>1658</v>
      </c>
      <c r="E1023" t="s">
        <v>184</v>
      </c>
      <c r="F1023" t="s">
        <v>135</v>
      </c>
      <c r="G1023" s="14">
        <v>25701.8</v>
      </c>
      <c r="H1023">
        <v>1475</v>
      </c>
      <c r="I1023">
        <v>17.420000000000002</v>
      </c>
      <c r="J1023">
        <v>31099.19</v>
      </c>
    </row>
    <row r="1024" spans="1:10" hidden="1" x14ac:dyDescent="0.25">
      <c r="A1024" t="s">
        <v>400</v>
      </c>
      <c r="B1024" t="s">
        <v>88</v>
      </c>
      <c r="C1024" s="1">
        <v>46017</v>
      </c>
      <c r="D1024" t="s">
        <v>1659</v>
      </c>
      <c r="E1024" t="s">
        <v>184</v>
      </c>
      <c r="F1024" t="s">
        <v>855</v>
      </c>
      <c r="G1024" s="14">
        <v>43468</v>
      </c>
      <c r="H1024">
        <v>1475</v>
      </c>
      <c r="I1024">
        <v>29.47</v>
      </c>
      <c r="J1024">
        <v>52596.28</v>
      </c>
    </row>
    <row r="1025" spans="1:10" hidden="1" x14ac:dyDescent="0.25">
      <c r="A1025" t="s">
        <v>510</v>
      </c>
      <c r="B1025" t="s">
        <v>96</v>
      </c>
      <c r="C1025" s="1">
        <v>46016</v>
      </c>
      <c r="D1025" t="s">
        <v>1760</v>
      </c>
      <c r="E1025" t="s">
        <v>127</v>
      </c>
      <c r="F1025" t="s">
        <v>117</v>
      </c>
      <c r="G1025" s="14">
        <v>2175.63</v>
      </c>
      <c r="H1025">
        <v>1475</v>
      </c>
      <c r="I1025">
        <v>1.48</v>
      </c>
      <c r="J1025">
        <v>2175.63</v>
      </c>
    </row>
    <row r="1026" spans="1:10" hidden="1" x14ac:dyDescent="0.25">
      <c r="A1026" t="s">
        <v>510</v>
      </c>
      <c r="B1026" t="s">
        <v>96</v>
      </c>
      <c r="C1026" s="1">
        <v>46016</v>
      </c>
      <c r="D1026" t="s">
        <v>1761</v>
      </c>
      <c r="E1026" t="s">
        <v>127</v>
      </c>
      <c r="F1026" t="s">
        <v>117</v>
      </c>
      <c r="G1026" s="14">
        <v>242.61</v>
      </c>
      <c r="H1026">
        <v>1475</v>
      </c>
      <c r="I1026">
        <v>0.16</v>
      </c>
      <c r="J1026">
        <v>242.61</v>
      </c>
    </row>
    <row r="1027" spans="1:10" hidden="1" x14ac:dyDescent="0.25">
      <c r="A1027" t="s">
        <v>453</v>
      </c>
      <c r="B1027" t="s">
        <v>88</v>
      </c>
      <c r="C1027" s="1">
        <v>46014</v>
      </c>
      <c r="D1027" t="s">
        <v>1701</v>
      </c>
      <c r="E1027" t="s">
        <v>136</v>
      </c>
      <c r="F1027" t="s">
        <v>855</v>
      </c>
      <c r="G1027" s="14">
        <v>577935.4</v>
      </c>
      <c r="H1027">
        <v>1475</v>
      </c>
      <c r="I1027">
        <v>391.82</v>
      </c>
      <c r="J1027">
        <v>699301.83</v>
      </c>
    </row>
    <row r="1028" spans="1:10" hidden="1" x14ac:dyDescent="0.25">
      <c r="A1028" t="s">
        <v>483</v>
      </c>
      <c r="B1028" t="s">
        <v>88</v>
      </c>
      <c r="C1028" s="1">
        <v>46014</v>
      </c>
      <c r="D1028" t="s">
        <v>1728</v>
      </c>
      <c r="E1028" t="s">
        <v>136</v>
      </c>
      <c r="F1028" t="s">
        <v>855</v>
      </c>
      <c r="G1028" s="14">
        <v>208600</v>
      </c>
      <c r="H1028">
        <v>1475</v>
      </c>
      <c r="I1028">
        <v>141.41999999999999</v>
      </c>
      <c r="J1028">
        <v>252406</v>
      </c>
    </row>
    <row r="1029" spans="1:10" hidden="1" x14ac:dyDescent="0.25">
      <c r="A1029" t="s">
        <v>289</v>
      </c>
      <c r="B1029" t="s">
        <v>88</v>
      </c>
      <c r="C1029" s="1">
        <v>46013</v>
      </c>
      <c r="D1029" t="s">
        <v>1594</v>
      </c>
      <c r="E1029" t="s">
        <v>138</v>
      </c>
      <c r="F1029" t="s">
        <v>139</v>
      </c>
      <c r="G1029" s="14">
        <v>72340.52</v>
      </c>
      <c r="H1029">
        <v>1475</v>
      </c>
      <c r="I1029">
        <v>49.04</v>
      </c>
      <c r="J1029">
        <v>87532.03</v>
      </c>
    </row>
    <row r="1030" spans="1:10" hidden="1" x14ac:dyDescent="0.25">
      <c r="A1030" t="s">
        <v>346</v>
      </c>
      <c r="B1030" t="s">
        <v>88</v>
      </c>
      <c r="C1030" s="1">
        <v>46013</v>
      </c>
      <c r="D1030" t="s">
        <v>1620</v>
      </c>
      <c r="E1030" t="s">
        <v>90</v>
      </c>
      <c r="F1030" t="s">
        <v>91</v>
      </c>
      <c r="G1030" s="14">
        <v>29180.6</v>
      </c>
      <c r="H1030">
        <v>1475</v>
      </c>
      <c r="I1030">
        <v>19.78</v>
      </c>
      <c r="J1030">
        <v>35308.53</v>
      </c>
    </row>
    <row r="1031" spans="1:10" hidden="1" x14ac:dyDescent="0.25">
      <c r="A1031" t="s">
        <v>346</v>
      </c>
      <c r="B1031" t="s">
        <v>88</v>
      </c>
      <c r="C1031" s="1">
        <v>46013</v>
      </c>
      <c r="D1031" t="s">
        <v>1620</v>
      </c>
      <c r="E1031" t="s">
        <v>92</v>
      </c>
      <c r="F1031" t="s">
        <v>91</v>
      </c>
      <c r="G1031" s="14">
        <v>4691.8100000000004</v>
      </c>
      <c r="H1031">
        <v>1475</v>
      </c>
      <c r="I1031">
        <v>3.18</v>
      </c>
      <c r="J1031">
        <v>4691.8100000000004</v>
      </c>
    </row>
    <row r="1032" spans="1:10" hidden="1" x14ac:dyDescent="0.25">
      <c r="A1032" t="s">
        <v>361</v>
      </c>
      <c r="B1032" t="s">
        <v>88</v>
      </c>
      <c r="C1032" s="1">
        <v>46013</v>
      </c>
      <c r="D1032" t="s">
        <v>1627</v>
      </c>
      <c r="E1032" t="s">
        <v>136</v>
      </c>
      <c r="F1032" t="s">
        <v>855</v>
      </c>
      <c r="G1032" s="14">
        <v>62273.81</v>
      </c>
      <c r="H1032">
        <v>1475</v>
      </c>
      <c r="I1032">
        <v>42.22</v>
      </c>
      <c r="J1032">
        <v>75351.31</v>
      </c>
    </row>
    <row r="1033" spans="1:10" hidden="1" x14ac:dyDescent="0.25">
      <c r="A1033" t="s">
        <v>361</v>
      </c>
      <c r="B1033" t="s">
        <v>279</v>
      </c>
      <c r="C1033" s="1">
        <v>46013</v>
      </c>
      <c r="D1033" t="s">
        <v>1628</v>
      </c>
      <c r="E1033" t="s">
        <v>136</v>
      </c>
      <c r="F1033" t="s">
        <v>855</v>
      </c>
      <c r="G1033" s="14">
        <v>-54380.58</v>
      </c>
      <c r="H1033">
        <v>1475</v>
      </c>
      <c r="I1033">
        <v>-36.869999999999997</v>
      </c>
      <c r="J1033">
        <v>-65800.5</v>
      </c>
    </row>
    <row r="1034" spans="1:10" hidden="1" x14ac:dyDescent="0.25">
      <c r="A1034" t="s">
        <v>1598</v>
      </c>
      <c r="B1034" t="s">
        <v>88</v>
      </c>
      <c r="C1034" s="1">
        <v>46010</v>
      </c>
      <c r="D1034" t="s">
        <v>1599</v>
      </c>
      <c r="E1034" t="s">
        <v>215</v>
      </c>
      <c r="F1034" t="s">
        <v>109</v>
      </c>
      <c r="G1034" s="14">
        <v>209081.82</v>
      </c>
      <c r="H1034">
        <v>1475</v>
      </c>
      <c r="I1034">
        <v>141.75</v>
      </c>
      <c r="J1034">
        <v>252989</v>
      </c>
    </row>
    <row r="1035" spans="1:10" hidden="1" x14ac:dyDescent="0.25">
      <c r="A1035" t="s">
        <v>1610</v>
      </c>
      <c r="B1035" t="s">
        <v>88</v>
      </c>
      <c r="C1035" s="1">
        <v>46010</v>
      </c>
      <c r="D1035" t="s">
        <v>1611</v>
      </c>
      <c r="E1035" t="s">
        <v>218</v>
      </c>
      <c r="F1035" t="s">
        <v>239</v>
      </c>
      <c r="G1035" s="14">
        <v>25964.87</v>
      </c>
      <c r="H1035">
        <v>1475</v>
      </c>
      <c r="I1035">
        <v>17.600000000000001</v>
      </c>
      <c r="J1035">
        <v>31417.49</v>
      </c>
    </row>
    <row r="1036" spans="1:10" hidden="1" x14ac:dyDescent="0.25">
      <c r="A1036" t="s">
        <v>1610</v>
      </c>
      <c r="B1036" t="s">
        <v>88</v>
      </c>
      <c r="C1036" s="1">
        <v>46010</v>
      </c>
      <c r="D1036" t="s">
        <v>1611</v>
      </c>
      <c r="E1036" t="s">
        <v>1207</v>
      </c>
      <c r="F1036" t="s">
        <v>239</v>
      </c>
      <c r="G1036" s="14">
        <v>82.51</v>
      </c>
      <c r="H1036">
        <v>1475</v>
      </c>
      <c r="I1036">
        <v>0.06</v>
      </c>
      <c r="J1036">
        <v>82.51</v>
      </c>
    </row>
    <row r="1037" spans="1:10" hidden="1" x14ac:dyDescent="0.25">
      <c r="A1037" t="s">
        <v>1134</v>
      </c>
      <c r="B1037" t="s">
        <v>88</v>
      </c>
      <c r="C1037" s="1">
        <v>46010</v>
      </c>
      <c r="D1037" t="s">
        <v>1612</v>
      </c>
      <c r="E1037" t="s">
        <v>90</v>
      </c>
      <c r="F1037" t="s">
        <v>91</v>
      </c>
      <c r="G1037" s="14">
        <v>73965.740000000005</v>
      </c>
      <c r="H1037">
        <v>1475</v>
      </c>
      <c r="I1037">
        <v>50.15</v>
      </c>
      <c r="J1037">
        <v>89498.559999999998</v>
      </c>
    </row>
    <row r="1038" spans="1:10" hidden="1" x14ac:dyDescent="0.25">
      <c r="A1038" t="s">
        <v>1134</v>
      </c>
      <c r="B1038" t="s">
        <v>88</v>
      </c>
      <c r="C1038" s="1">
        <v>46010</v>
      </c>
      <c r="D1038" t="s">
        <v>1612</v>
      </c>
      <c r="E1038" t="s">
        <v>92</v>
      </c>
      <c r="F1038" t="s">
        <v>91</v>
      </c>
      <c r="G1038" s="14">
        <v>10508.44</v>
      </c>
      <c r="H1038">
        <v>1475</v>
      </c>
      <c r="I1038">
        <v>7.12</v>
      </c>
      <c r="J1038">
        <v>10508.44</v>
      </c>
    </row>
    <row r="1039" spans="1:10" hidden="1" x14ac:dyDescent="0.25">
      <c r="A1039" t="s">
        <v>361</v>
      </c>
      <c r="B1039" t="s">
        <v>88</v>
      </c>
      <c r="C1039" s="1">
        <v>46010</v>
      </c>
      <c r="D1039" t="s">
        <v>1626</v>
      </c>
      <c r="E1039" t="s">
        <v>136</v>
      </c>
      <c r="G1039" s="14">
        <v>1671.63</v>
      </c>
      <c r="H1039">
        <v>1475</v>
      </c>
      <c r="I1039">
        <v>1.1299999999999999</v>
      </c>
      <c r="J1039">
        <v>2022.68</v>
      </c>
    </row>
    <row r="1040" spans="1:10" hidden="1" x14ac:dyDescent="0.25">
      <c r="A1040" t="s">
        <v>361</v>
      </c>
      <c r="B1040" t="s">
        <v>88</v>
      </c>
      <c r="C1040" s="1">
        <v>46010</v>
      </c>
      <c r="D1040" t="s">
        <v>1626</v>
      </c>
      <c r="E1040" t="s">
        <v>136</v>
      </c>
      <c r="F1040" t="s">
        <v>855</v>
      </c>
      <c r="G1040" s="14">
        <v>53492.01</v>
      </c>
      <c r="H1040">
        <v>1475</v>
      </c>
      <c r="I1040">
        <v>36.270000000000003</v>
      </c>
      <c r="J1040">
        <v>64725.33</v>
      </c>
    </row>
    <row r="1041" spans="1:10" hidden="1" x14ac:dyDescent="0.25">
      <c r="A1041" t="s">
        <v>361</v>
      </c>
      <c r="B1041" t="s">
        <v>88</v>
      </c>
      <c r="C1041" s="1">
        <v>46010</v>
      </c>
      <c r="D1041" t="s">
        <v>1626</v>
      </c>
      <c r="E1041" t="s">
        <v>136</v>
      </c>
      <c r="F1041" t="s">
        <v>26</v>
      </c>
      <c r="G1041" s="14">
        <v>111998.9</v>
      </c>
      <c r="H1041">
        <v>1475</v>
      </c>
      <c r="I1041">
        <v>75.930000000000007</v>
      </c>
      <c r="J1041">
        <v>135518.67000000001</v>
      </c>
    </row>
    <row r="1042" spans="1:10" hidden="1" x14ac:dyDescent="0.25">
      <c r="A1042" t="s">
        <v>426</v>
      </c>
      <c r="B1042" t="s">
        <v>88</v>
      </c>
      <c r="C1042" s="1">
        <v>46010</v>
      </c>
      <c r="D1042" t="s">
        <v>1688</v>
      </c>
      <c r="E1042" t="s">
        <v>136</v>
      </c>
      <c r="F1042" t="s">
        <v>855</v>
      </c>
      <c r="G1042" s="14">
        <v>2123500</v>
      </c>
      <c r="H1042">
        <v>1475</v>
      </c>
      <c r="I1042">
        <v>1439.66</v>
      </c>
      <c r="J1042">
        <v>2569435</v>
      </c>
    </row>
    <row r="1043" spans="1:10" hidden="1" x14ac:dyDescent="0.25">
      <c r="A1043" t="s">
        <v>426</v>
      </c>
      <c r="B1043" t="s">
        <v>88</v>
      </c>
      <c r="C1043" s="1">
        <v>46010</v>
      </c>
      <c r="D1043" t="s">
        <v>1689</v>
      </c>
      <c r="E1043" t="s">
        <v>134</v>
      </c>
      <c r="F1043" t="s">
        <v>855</v>
      </c>
      <c r="G1043" s="14">
        <v>233297.32</v>
      </c>
      <c r="H1043">
        <v>1475</v>
      </c>
      <c r="I1043">
        <v>158.16999999999999</v>
      </c>
      <c r="J1043">
        <v>257793.54</v>
      </c>
    </row>
    <row r="1044" spans="1:10" hidden="1" x14ac:dyDescent="0.25">
      <c r="A1044" t="s">
        <v>426</v>
      </c>
      <c r="B1044" t="s">
        <v>88</v>
      </c>
      <c r="C1044" s="1">
        <v>46010</v>
      </c>
      <c r="D1044" t="s">
        <v>1689</v>
      </c>
      <c r="E1044" t="s">
        <v>136</v>
      </c>
      <c r="F1044" t="s">
        <v>855</v>
      </c>
      <c r="G1044" s="14">
        <v>13409963.439999999</v>
      </c>
      <c r="H1044">
        <v>1475</v>
      </c>
      <c r="I1044">
        <v>9091.5</v>
      </c>
      <c r="J1044">
        <v>16226055.76</v>
      </c>
    </row>
    <row r="1045" spans="1:10" hidden="1" x14ac:dyDescent="0.25">
      <c r="A1045" t="s">
        <v>289</v>
      </c>
      <c r="B1045" t="s">
        <v>88</v>
      </c>
      <c r="C1045" s="1">
        <v>46009</v>
      </c>
      <c r="D1045" t="s">
        <v>1592</v>
      </c>
      <c r="E1045" t="s">
        <v>138</v>
      </c>
      <c r="F1045" t="s">
        <v>139</v>
      </c>
      <c r="G1045" s="14">
        <v>78243</v>
      </c>
      <c r="H1045">
        <v>1475</v>
      </c>
      <c r="I1045">
        <v>53.05</v>
      </c>
      <c r="J1045">
        <v>94674.03</v>
      </c>
    </row>
    <row r="1046" spans="1:10" hidden="1" x14ac:dyDescent="0.25">
      <c r="A1046" t="s">
        <v>1745</v>
      </c>
      <c r="B1046" t="s">
        <v>88</v>
      </c>
      <c r="C1046" s="1">
        <v>46009</v>
      </c>
      <c r="D1046" t="s">
        <v>1746</v>
      </c>
      <c r="E1046" t="s">
        <v>205</v>
      </c>
      <c r="F1046" t="s">
        <v>855</v>
      </c>
      <c r="G1046" s="14">
        <v>70247.929999999993</v>
      </c>
      <c r="H1046">
        <v>1475</v>
      </c>
      <c r="I1046">
        <v>47.63</v>
      </c>
      <c r="J1046">
        <v>85000</v>
      </c>
    </row>
    <row r="1047" spans="1:10" hidden="1" x14ac:dyDescent="0.25">
      <c r="A1047" t="s">
        <v>515</v>
      </c>
      <c r="B1047" t="s">
        <v>88</v>
      </c>
      <c r="C1047" s="1">
        <v>46009</v>
      </c>
      <c r="D1047" t="s">
        <v>1772</v>
      </c>
      <c r="E1047" t="s">
        <v>184</v>
      </c>
      <c r="F1047" t="s">
        <v>24</v>
      </c>
      <c r="G1047" s="14">
        <v>33308</v>
      </c>
      <c r="H1047">
        <v>1475</v>
      </c>
      <c r="I1047">
        <v>22.58</v>
      </c>
      <c r="J1047">
        <v>40302.68</v>
      </c>
    </row>
    <row r="1048" spans="1:10" hidden="1" x14ac:dyDescent="0.25">
      <c r="A1048" t="s">
        <v>346</v>
      </c>
      <c r="B1048" t="s">
        <v>88</v>
      </c>
      <c r="C1048" s="1">
        <v>46008</v>
      </c>
      <c r="D1048" t="s">
        <v>1619</v>
      </c>
      <c r="E1048" t="s">
        <v>90</v>
      </c>
      <c r="F1048" t="s">
        <v>91</v>
      </c>
      <c r="G1048" s="14">
        <v>49481.79</v>
      </c>
      <c r="H1048">
        <v>1475</v>
      </c>
      <c r="I1048">
        <v>33.549999999999997</v>
      </c>
      <c r="J1048">
        <v>59872.98</v>
      </c>
    </row>
    <row r="1049" spans="1:10" hidden="1" x14ac:dyDescent="0.25">
      <c r="A1049" t="s">
        <v>346</v>
      </c>
      <c r="B1049" t="s">
        <v>88</v>
      </c>
      <c r="C1049" s="1">
        <v>46008</v>
      </c>
      <c r="D1049" t="s">
        <v>1619</v>
      </c>
      <c r="E1049" t="s">
        <v>92</v>
      </c>
      <c r="F1049" t="s">
        <v>91</v>
      </c>
      <c r="G1049" s="14">
        <v>7252.43</v>
      </c>
      <c r="H1049">
        <v>1475</v>
      </c>
      <c r="I1049">
        <v>4.92</v>
      </c>
      <c r="J1049">
        <v>7252.43</v>
      </c>
    </row>
    <row r="1050" spans="1:10" hidden="1" x14ac:dyDescent="0.25">
      <c r="A1050" t="s">
        <v>466</v>
      </c>
      <c r="B1050" t="s">
        <v>88</v>
      </c>
      <c r="C1050" s="1">
        <v>46008</v>
      </c>
      <c r="D1050" t="s">
        <v>1714</v>
      </c>
      <c r="E1050" t="s">
        <v>136</v>
      </c>
      <c r="F1050" t="s">
        <v>855</v>
      </c>
      <c r="G1050" s="14">
        <v>1602455.38</v>
      </c>
      <c r="H1050">
        <v>1475</v>
      </c>
      <c r="I1050">
        <v>1086.4100000000001</v>
      </c>
      <c r="J1050">
        <v>1938971.3</v>
      </c>
    </row>
    <row r="1051" spans="1:10" hidden="1" x14ac:dyDescent="0.25">
      <c r="A1051" t="s">
        <v>466</v>
      </c>
      <c r="B1051" t="s">
        <v>88</v>
      </c>
      <c r="C1051" s="1">
        <v>46008</v>
      </c>
      <c r="D1051" t="s">
        <v>1715</v>
      </c>
      <c r="E1051" t="s">
        <v>136</v>
      </c>
      <c r="F1051" t="s">
        <v>855</v>
      </c>
      <c r="G1051" s="14">
        <v>4001321.13</v>
      </c>
      <c r="H1051">
        <v>1475</v>
      </c>
      <c r="I1051">
        <v>2712.76</v>
      </c>
      <c r="J1051">
        <v>4841595.2300000004</v>
      </c>
    </row>
    <row r="1052" spans="1:10" hidden="1" x14ac:dyDescent="0.25">
      <c r="A1052" t="s">
        <v>533</v>
      </c>
      <c r="B1052" t="s">
        <v>88</v>
      </c>
      <c r="C1052" s="1">
        <v>46008</v>
      </c>
      <c r="D1052" t="s">
        <v>1781</v>
      </c>
      <c r="E1052" t="s">
        <v>90</v>
      </c>
      <c r="F1052" t="s">
        <v>91</v>
      </c>
      <c r="G1052" s="14">
        <v>10352.17</v>
      </c>
      <c r="H1052">
        <v>1475</v>
      </c>
      <c r="I1052">
        <v>7.02</v>
      </c>
      <c r="J1052">
        <v>12526.14</v>
      </c>
    </row>
    <row r="1053" spans="1:10" hidden="1" x14ac:dyDescent="0.25">
      <c r="A1053" t="s">
        <v>533</v>
      </c>
      <c r="B1053" t="s">
        <v>88</v>
      </c>
      <c r="C1053" s="1">
        <v>46008</v>
      </c>
      <c r="D1053" t="s">
        <v>1781</v>
      </c>
      <c r="E1053" t="s">
        <v>92</v>
      </c>
      <c r="F1053" t="s">
        <v>91</v>
      </c>
      <c r="G1053" s="14">
        <v>73.88</v>
      </c>
      <c r="H1053">
        <v>1475</v>
      </c>
      <c r="I1053">
        <v>0.05</v>
      </c>
      <c r="J1053">
        <v>73.88</v>
      </c>
    </row>
    <row r="1054" spans="1:10" hidden="1" x14ac:dyDescent="0.25">
      <c r="A1054" t="s">
        <v>533</v>
      </c>
      <c r="B1054" t="s">
        <v>88</v>
      </c>
      <c r="C1054" s="1">
        <v>46008</v>
      </c>
      <c r="D1054" t="s">
        <v>1782</v>
      </c>
      <c r="E1054" t="s">
        <v>90</v>
      </c>
      <c r="F1054" t="s">
        <v>91</v>
      </c>
      <c r="G1054" s="14">
        <v>70018.8</v>
      </c>
      <c r="H1054">
        <v>1475</v>
      </c>
      <c r="I1054">
        <v>47.47</v>
      </c>
      <c r="J1054">
        <v>84722.76</v>
      </c>
    </row>
    <row r="1055" spans="1:10" hidden="1" x14ac:dyDescent="0.25">
      <c r="A1055" t="s">
        <v>533</v>
      </c>
      <c r="B1055" t="s">
        <v>88</v>
      </c>
      <c r="C1055" s="1">
        <v>46008</v>
      </c>
      <c r="D1055" t="s">
        <v>1782</v>
      </c>
      <c r="E1055" t="s">
        <v>92</v>
      </c>
      <c r="F1055" t="s">
        <v>91</v>
      </c>
      <c r="G1055" s="14">
        <v>15312.22</v>
      </c>
      <c r="H1055">
        <v>1475</v>
      </c>
      <c r="I1055">
        <v>10.38</v>
      </c>
      <c r="J1055">
        <v>15312.22</v>
      </c>
    </row>
    <row r="1056" spans="1:10" hidden="1" x14ac:dyDescent="0.25">
      <c r="A1056" t="s">
        <v>161</v>
      </c>
      <c r="B1056" t="s">
        <v>88</v>
      </c>
      <c r="C1056" s="1">
        <v>46007</v>
      </c>
      <c r="D1056" t="s">
        <v>1541</v>
      </c>
      <c r="E1056" t="s">
        <v>136</v>
      </c>
      <c r="F1056" t="s">
        <v>855</v>
      </c>
      <c r="G1056" s="14">
        <v>6679403.7999999998</v>
      </c>
      <c r="H1056">
        <v>1480</v>
      </c>
      <c r="I1056">
        <v>4513.1099999999997</v>
      </c>
      <c r="J1056">
        <v>8082082.7000000002</v>
      </c>
    </row>
    <row r="1057" spans="1:10" hidden="1" x14ac:dyDescent="0.25">
      <c r="A1057" t="s">
        <v>316</v>
      </c>
      <c r="B1057" t="s">
        <v>88</v>
      </c>
      <c r="C1057" s="1">
        <v>46007</v>
      </c>
      <c r="D1057" t="s">
        <v>1613</v>
      </c>
      <c r="E1057" t="s">
        <v>136</v>
      </c>
      <c r="F1057" t="s">
        <v>24</v>
      </c>
      <c r="G1057" s="14">
        <v>18110.38</v>
      </c>
      <c r="H1057">
        <v>1480</v>
      </c>
      <c r="I1057">
        <v>12.24</v>
      </c>
      <c r="J1057">
        <v>21913.56</v>
      </c>
    </row>
    <row r="1058" spans="1:10" hidden="1" x14ac:dyDescent="0.25">
      <c r="A1058" t="s">
        <v>346</v>
      </c>
      <c r="B1058" t="s">
        <v>88</v>
      </c>
      <c r="C1058" s="1">
        <v>46007</v>
      </c>
      <c r="D1058" t="s">
        <v>1618</v>
      </c>
      <c r="E1058" t="s">
        <v>90</v>
      </c>
      <c r="F1058" t="s">
        <v>91</v>
      </c>
      <c r="G1058" s="14">
        <v>138615.35999999999</v>
      </c>
      <c r="H1058">
        <v>1480</v>
      </c>
      <c r="I1058">
        <v>93.66</v>
      </c>
      <c r="J1058">
        <v>167724.6</v>
      </c>
    </row>
    <row r="1059" spans="1:10" hidden="1" x14ac:dyDescent="0.25">
      <c r="A1059" t="s">
        <v>346</v>
      </c>
      <c r="B1059" t="s">
        <v>88</v>
      </c>
      <c r="C1059" s="1">
        <v>46007</v>
      </c>
      <c r="D1059" t="s">
        <v>1618</v>
      </c>
      <c r="E1059" t="s">
        <v>92</v>
      </c>
      <c r="F1059" t="s">
        <v>91</v>
      </c>
      <c r="G1059" s="14">
        <v>22287.29</v>
      </c>
      <c r="H1059">
        <v>1480</v>
      </c>
      <c r="I1059">
        <v>15.06</v>
      </c>
      <c r="J1059">
        <v>22287.29</v>
      </c>
    </row>
    <row r="1060" spans="1:10" hidden="1" x14ac:dyDescent="0.25">
      <c r="A1060" t="s">
        <v>426</v>
      </c>
      <c r="B1060" t="s">
        <v>88</v>
      </c>
      <c r="C1060" s="1">
        <v>46007</v>
      </c>
      <c r="D1060" t="s">
        <v>1687</v>
      </c>
      <c r="E1060" t="s">
        <v>136</v>
      </c>
      <c r="F1060" t="s">
        <v>26</v>
      </c>
      <c r="G1060" s="14">
        <v>1043931.49</v>
      </c>
      <c r="H1060">
        <v>1480</v>
      </c>
      <c r="I1060">
        <v>705.36</v>
      </c>
      <c r="J1060">
        <v>1263157.1000000001</v>
      </c>
    </row>
    <row r="1061" spans="1:10" hidden="1" x14ac:dyDescent="0.25">
      <c r="A1061" t="s">
        <v>455</v>
      </c>
      <c r="B1061" t="s">
        <v>88</v>
      </c>
      <c r="C1061" s="1">
        <v>46007</v>
      </c>
      <c r="D1061" t="s">
        <v>1705</v>
      </c>
      <c r="E1061" t="s">
        <v>136</v>
      </c>
      <c r="F1061" t="s">
        <v>24</v>
      </c>
      <c r="G1061" s="14">
        <v>161513.62</v>
      </c>
      <c r="H1061">
        <v>1480</v>
      </c>
      <c r="I1061">
        <v>109.13</v>
      </c>
      <c r="J1061">
        <v>195431.48</v>
      </c>
    </row>
    <row r="1062" spans="1:10" hidden="1" x14ac:dyDescent="0.25">
      <c r="A1062" t="s">
        <v>497</v>
      </c>
      <c r="B1062" t="s">
        <v>88</v>
      </c>
      <c r="C1062" s="1">
        <v>46007</v>
      </c>
      <c r="D1062" t="s">
        <v>1740</v>
      </c>
      <c r="E1062" t="s">
        <v>136</v>
      </c>
      <c r="F1062" t="s">
        <v>24</v>
      </c>
      <c r="G1062" s="14">
        <v>171060</v>
      </c>
      <c r="H1062">
        <v>1480</v>
      </c>
      <c r="I1062">
        <v>115.58</v>
      </c>
      <c r="J1062">
        <v>206982.6</v>
      </c>
    </row>
    <row r="1063" spans="1:10" hidden="1" x14ac:dyDescent="0.25">
      <c r="A1063" t="s">
        <v>1783</v>
      </c>
      <c r="B1063" t="s">
        <v>88</v>
      </c>
      <c r="C1063" s="1">
        <v>46007</v>
      </c>
      <c r="D1063" t="s">
        <v>1784</v>
      </c>
      <c r="E1063" t="s">
        <v>215</v>
      </c>
      <c r="F1063" t="s">
        <v>109</v>
      </c>
      <c r="G1063" s="14">
        <v>122975.21</v>
      </c>
      <c r="H1063">
        <v>1480</v>
      </c>
      <c r="I1063">
        <v>83.09</v>
      </c>
      <c r="J1063">
        <v>148800</v>
      </c>
    </row>
    <row r="1064" spans="1:10" hidden="1" x14ac:dyDescent="0.25">
      <c r="A1064" t="s">
        <v>246</v>
      </c>
      <c r="B1064" t="s">
        <v>88</v>
      </c>
      <c r="C1064" s="1">
        <v>46006</v>
      </c>
      <c r="D1064" t="s">
        <v>1568</v>
      </c>
      <c r="E1064" t="s">
        <v>114</v>
      </c>
      <c r="F1064" t="s">
        <v>117</v>
      </c>
      <c r="G1064" s="14">
        <v>10399.84</v>
      </c>
      <c r="H1064">
        <v>1465</v>
      </c>
      <c r="I1064">
        <v>7.1</v>
      </c>
      <c r="J1064">
        <v>12583.8</v>
      </c>
    </row>
    <row r="1065" spans="1:10" hidden="1" x14ac:dyDescent="0.25">
      <c r="A1065" t="s">
        <v>281</v>
      </c>
      <c r="B1065" t="s">
        <v>88</v>
      </c>
      <c r="C1065" s="1">
        <v>46006</v>
      </c>
      <c r="D1065" t="s">
        <v>1586</v>
      </c>
      <c r="E1065" t="s">
        <v>283</v>
      </c>
      <c r="F1065" t="s">
        <v>109</v>
      </c>
      <c r="G1065" s="14">
        <v>129388.5</v>
      </c>
      <c r="H1065">
        <v>1465</v>
      </c>
      <c r="I1065">
        <v>88.32</v>
      </c>
      <c r="J1065">
        <v>156560.09</v>
      </c>
    </row>
    <row r="1066" spans="1:10" hidden="1" x14ac:dyDescent="0.25">
      <c r="A1066" t="s">
        <v>504</v>
      </c>
      <c r="B1066" t="s">
        <v>88</v>
      </c>
      <c r="C1066" s="1">
        <v>46005</v>
      </c>
      <c r="D1066" t="s">
        <v>1759</v>
      </c>
      <c r="E1066" t="s">
        <v>506</v>
      </c>
      <c r="F1066" t="s">
        <v>109</v>
      </c>
      <c r="G1066" s="14">
        <v>216304.48</v>
      </c>
      <c r="H1066">
        <v>1465</v>
      </c>
      <c r="I1066">
        <v>147.65</v>
      </c>
      <c r="J1066">
        <v>274706.69</v>
      </c>
    </row>
    <row r="1067" spans="1:10" hidden="1" x14ac:dyDescent="0.25">
      <c r="A1067" t="s">
        <v>504</v>
      </c>
      <c r="B1067" t="s">
        <v>88</v>
      </c>
      <c r="C1067" s="1">
        <v>46005</v>
      </c>
      <c r="D1067" t="s">
        <v>1759</v>
      </c>
      <c r="E1067" t="s">
        <v>507</v>
      </c>
      <c r="F1067" t="s">
        <v>109</v>
      </c>
      <c r="G1067" s="14">
        <v>11384.32</v>
      </c>
      <c r="H1067">
        <v>1465</v>
      </c>
      <c r="I1067">
        <v>7.77</v>
      </c>
      <c r="J1067">
        <v>11384.32</v>
      </c>
    </row>
    <row r="1068" spans="1:10" hidden="1" x14ac:dyDescent="0.25">
      <c r="A1068" t="s">
        <v>272</v>
      </c>
      <c r="B1068" t="s">
        <v>88</v>
      </c>
      <c r="C1068" s="1">
        <v>46003</v>
      </c>
      <c r="D1068" t="s">
        <v>1109</v>
      </c>
      <c r="E1068" t="s">
        <v>274</v>
      </c>
      <c r="F1068" t="s">
        <v>109</v>
      </c>
      <c r="G1068" s="14">
        <v>51322.32</v>
      </c>
      <c r="H1068">
        <v>1465</v>
      </c>
      <c r="I1068">
        <v>35.03</v>
      </c>
      <c r="J1068">
        <v>62100.01</v>
      </c>
    </row>
    <row r="1069" spans="1:10" hidden="1" x14ac:dyDescent="0.25">
      <c r="A1069" t="s">
        <v>400</v>
      </c>
      <c r="B1069" t="s">
        <v>88</v>
      </c>
      <c r="C1069" s="1">
        <v>46003</v>
      </c>
      <c r="D1069" t="s">
        <v>1222</v>
      </c>
      <c r="E1069" t="s">
        <v>184</v>
      </c>
      <c r="F1069" t="s">
        <v>855</v>
      </c>
      <c r="G1069" s="14">
        <v>80471.199999999997</v>
      </c>
      <c r="H1069">
        <v>1465</v>
      </c>
      <c r="I1069">
        <v>54.93</v>
      </c>
      <c r="J1069">
        <v>97370.15</v>
      </c>
    </row>
    <row r="1070" spans="1:10" hidden="1" x14ac:dyDescent="0.25">
      <c r="A1070" t="s">
        <v>455</v>
      </c>
      <c r="B1070" t="s">
        <v>88</v>
      </c>
      <c r="C1070" s="1">
        <v>46003</v>
      </c>
      <c r="D1070" t="s">
        <v>1329</v>
      </c>
      <c r="E1070" t="s">
        <v>136</v>
      </c>
      <c r="F1070" t="s">
        <v>25</v>
      </c>
      <c r="G1070" s="14">
        <v>383009.45</v>
      </c>
      <c r="H1070">
        <v>1465</v>
      </c>
      <c r="I1070">
        <v>261.44</v>
      </c>
      <c r="J1070">
        <v>463441.43</v>
      </c>
    </row>
    <row r="1071" spans="1:10" hidden="1" x14ac:dyDescent="0.25">
      <c r="A1071" t="s">
        <v>1362</v>
      </c>
      <c r="B1071" t="s">
        <v>88</v>
      </c>
      <c r="C1071" s="1">
        <v>46003</v>
      </c>
      <c r="D1071" t="s">
        <v>1369</v>
      </c>
      <c r="E1071" t="s">
        <v>136</v>
      </c>
      <c r="F1071" t="s">
        <v>26</v>
      </c>
      <c r="G1071" s="14">
        <v>339795.73</v>
      </c>
      <c r="H1071">
        <v>1465</v>
      </c>
      <c r="I1071">
        <v>231.94</v>
      </c>
      <c r="J1071">
        <v>411152.84</v>
      </c>
    </row>
    <row r="1072" spans="1:10" hidden="1" x14ac:dyDescent="0.25">
      <c r="A1072" t="s">
        <v>1362</v>
      </c>
      <c r="B1072" t="s">
        <v>88</v>
      </c>
      <c r="C1072" s="1">
        <v>46003</v>
      </c>
      <c r="D1072" t="s">
        <v>1369</v>
      </c>
      <c r="E1072" t="s">
        <v>136</v>
      </c>
      <c r="F1072" t="s">
        <v>24</v>
      </c>
      <c r="G1072" s="14">
        <v>159903.87</v>
      </c>
      <c r="H1072">
        <v>1465</v>
      </c>
      <c r="I1072">
        <v>109.15</v>
      </c>
      <c r="J1072">
        <v>193483.68</v>
      </c>
    </row>
    <row r="1073" spans="1:10" hidden="1" x14ac:dyDescent="0.25">
      <c r="A1073" t="s">
        <v>443</v>
      </c>
      <c r="B1073" t="s">
        <v>88</v>
      </c>
      <c r="C1073" s="1">
        <v>46002</v>
      </c>
      <c r="D1073" t="s">
        <v>1311</v>
      </c>
      <c r="E1073" t="s">
        <v>90</v>
      </c>
      <c r="F1073" t="s">
        <v>91</v>
      </c>
      <c r="G1073" s="14">
        <v>56521.5</v>
      </c>
      <c r="H1073">
        <v>1460</v>
      </c>
      <c r="I1073">
        <v>38.71</v>
      </c>
      <c r="J1073">
        <v>68391.03</v>
      </c>
    </row>
    <row r="1074" spans="1:10" hidden="1" x14ac:dyDescent="0.25">
      <c r="A1074" t="s">
        <v>443</v>
      </c>
      <c r="B1074" t="s">
        <v>88</v>
      </c>
      <c r="C1074" s="1">
        <v>46002</v>
      </c>
      <c r="D1074" t="s">
        <v>1311</v>
      </c>
      <c r="E1074" t="s">
        <v>92</v>
      </c>
      <c r="F1074" t="s">
        <v>91</v>
      </c>
      <c r="G1074" s="14">
        <v>11621.88</v>
      </c>
      <c r="H1074">
        <v>1460</v>
      </c>
      <c r="I1074">
        <v>7.96</v>
      </c>
      <c r="J1074">
        <v>11621.88</v>
      </c>
    </row>
    <row r="1075" spans="1:10" hidden="1" x14ac:dyDescent="0.25">
      <c r="A1075" t="s">
        <v>515</v>
      </c>
      <c r="B1075" t="s">
        <v>88</v>
      </c>
      <c r="C1075" s="1">
        <v>46002</v>
      </c>
      <c r="D1075" t="s">
        <v>1452</v>
      </c>
      <c r="E1075" t="s">
        <v>184</v>
      </c>
      <c r="F1075" t="s">
        <v>855</v>
      </c>
      <c r="G1075" s="14">
        <v>33441</v>
      </c>
      <c r="H1075">
        <v>1460</v>
      </c>
      <c r="I1075">
        <v>22.9</v>
      </c>
      <c r="J1075">
        <v>40463.61</v>
      </c>
    </row>
    <row r="1076" spans="1:10" hidden="1" x14ac:dyDescent="0.25">
      <c r="A1076" t="s">
        <v>497</v>
      </c>
      <c r="B1076" t="s">
        <v>88</v>
      </c>
      <c r="C1076" s="1">
        <v>46001</v>
      </c>
      <c r="D1076" t="s">
        <v>1398</v>
      </c>
      <c r="E1076" t="s">
        <v>136</v>
      </c>
      <c r="F1076" t="s">
        <v>13</v>
      </c>
      <c r="G1076" s="14">
        <v>179968.44</v>
      </c>
      <c r="H1076">
        <v>1460</v>
      </c>
      <c r="I1076">
        <v>123.27</v>
      </c>
      <c r="J1076">
        <v>217761.81</v>
      </c>
    </row>
    <row r="1077" spans="1:10" hidden="1" x14ac:dyDescent="0.25">
      <c r="A1077" t="s">
        <v>1320</v>
      </c>
      <c r="B1077" t="s">
        <v>88</v>
      </c>
      <c r="C1077" s="1">
        <v>46000</v>
      </c>
      <c r="D1077" t="s">
        <v>1322</v>
      </c>
      <c r="E1077" t="s">
        <v>136</v>
      </c>
      <c r="F1077" t="s">
        <v>855</v>
      </c>
      <c r="G1077" s="14">
        <v>2533263.5</v>
      </c>
      <c r="H1077">
        <v>1465</v>
      </c>
      <c r="I1077">
        <v>1729.19</v>
      </c>
      <c r="J1077">
        <v>3065248.8</v>
      </c>
    </row>
    <row r="1078" spans="1:10" hidden="1" x14ac:dyDescent="0.25">
      <c r="A1078" t="s">
        <v>246</v>
      </c>
      <c r="B1078" t="s">
        <v>88</v>
      </c>
      <c r="C1078" s="1">
        <v>45997</v>
      </c>
      <c r="D1078" t="s">
        <v>1073</v>
      </c>
      <c r="E1078" t="s">
        <v>114</v>
      </c>
      <c r="F1078" t="s">
        <v>117</v>
      </c>
      <c r="G1078" s="14">
        <v>6447.89</v>
      </c>
      <c r="H1078">
        <v>1460</v>
      </c>
      <c r="I1078">
        <v>4.42</v>
      </c>
      <c r="J1078">
        <v>7801.94</v>
      </c>
    </row>
    <row r="1079" spans="1:10" hidden="1" x14ac:dyDescent="0.25">
      <c r="A1079" t="s">
        <v>426</v>
      </c>
      <c r="B1079" t="s">
        <v>88</v>
      </c>
      <c r="C1079" s="1">
        <v>45997</v>
      </c>
      <c r="D1079" t="s">
        <v>1270</v>
      </c>
      <c r="E1079" t="s">
        <v>136</v>
      </c>
      <c r="F1079" t="s">
        <v>25</v>
      </c>
      <c r="G1079" s="14">
        <v>62834.58</v>
      </c>
      <c r="H1079">
        <v>1460</v>
      </c>
      <c r="I1079">
        <v>43.04</v>
      </c>
      <c r="J1079">
        <v>76029.84</v>
      </c>
    </row>
    <row r="1080" spans="1:10" hidden="1" x14ac:dyDescent="0.25">
      <c r="A1080" t="s">
        <v>161</v>
      </c>
      <c r="B1080" t="s">
        <v>88</v>
      </c>
      <c r="C1080" s="1">
        <v>45996</v>
      </c>
      <c r="D1080" t="s">
        <v>1002</v>
      </c>
      <c r="E1080" t="s">
        <v>134</v>
      </c>
      <c r="F1080" t="s">
        <v>13</v>
      </c>
      <c r="G1080" s="14">
        <v>353211.6</v>
      </c>
      <c r="H1080">
        <v>1460</v>
      </c>
      <c r="I1080">
        <v>241.93</v>
      </c>
      <c r="J1080">
        <v>390298.82</v>
      </c>
    </row>
    <row r="1081" spans="1:10" hidden="1" x14ac:dyDescent="0.25">
      <c r="A1081" t="s">
        <v>161</v>
      </c>
      <c r="B1081" t="s">
        <v>88</v>
      </c>
      <c r="C1081" s="1">
        <v>45996</v>
      </c>
      <c r="D1081" t="s">
        <v>1002</v>
      </c>
      <c r="E1081" t="s">
        <v>136</v>
      </c>
      <c r="F1081" t="s">
        <v>13</v>
      </c>
      <c r="G1081" s="14">
        <v>1304801.99</v>
      </c>
      <c r="H1081">
        <v>1460</v>
      </c>
      <c r="I1081">
        <v>893.7</v>
      </c>
      <c r="J1081">
        <v>1578810.28</v>
      </c>
    </row>
    <row r="1082" spans="1:10" hidden="1" x14ac:dyDescent="0.25">
      <c r="A1082" t="s">
        <v>787</v>
      </c>
      <c r="B1082" t="s">
        <v>88</v>
      </c>
      <c r="C1082" s="1">
        <v>45996</v>
      </c>
      <c r="D1082" t="s">
        <v>1241</v>
      </c>
      <c r="E1082" t="s">
        <v>323</v>
      </c>
      <c r="F1082" t="s">
        <v>109</v>
      </c>
      <c r="G1082" s="14">
        <v>18000</v>
      </c>
      <c r="H1082">
        <v>1460</v>
      </c>
      <c r="I1082">
        <v>12.33</v>
      </c>
      <c r="J1082">
        <v>18000</v>
      </c>
    </row>
    <row r="1083" spans="1:10" hidden="1" x14ac:dyDescent="0.25">
      <c r="A1083" t="s">
        <v>552</v>
      </c>
      <c r="B1083" t="s">
        <v>88</v>
      </c>
      <c r="C1083" s="1">
        <v>45996</v>
      </c>
      <c r="D1083" t="s">
        <v>1495</v>
      </c>
      <c r="E1083" t="s">
        <v>136</v>
      </c>
      <c r="F1083" t="s">
        <v>855</v>
      </c>
      <c r="G1083" s="14">
        <v>4111238.6</v>
      </c>
      <c r="H1083">
        <v>1460</v>
      </c>
      <c r="I1083">
        <v>2815.92</v>
      </c>
      <c r="J1083">
        <v>4974598.71</v>
      </c>
    </row>
    <row r="1084" spans="1:10" hidden="1" x14ac:dyDescent="0.25">
      <c r="A1084" t="s">
        <v>175</v>
      </c>
      <c r="B1084" t="s">
        <v>88</v>
      </c>
      <c r="C1084" s="1">
        <v>45995</v>
      </c>
      <c r="D1084" t="s">
        <v>1023</v>
      </c>
      <c r="E1084" t="s">
        <v>177</v>
      </c>
      <c r="F1084" t="s">
        <v>109</v>
      </c>
      <c r="G1084" s="14">
        <v>20853.849999999999</v>
      </c>
      <c r="H1084">
        <v>1470</v>
      </c>
      <c r="I1084">
        <v>14.19</v>
      </c>
      <c r="J1084">
        <v>26484.39</v>
      </c>
    </row>
    <row r="1085" spans="1:10" hidden="1" x14ac:dyDescent="0.25">
      <c r="A1085" t="s">
        <v>175</v>
      </c>
      <c r="B1085" t="s">
        <v>88</v>
      </c>
      <c r="C1085" s="1">
        <v>45995</v>
      </c>
      <c r="D1085" t="s">
        <v>1023</v>
      </c>
      <c r="E1085" t="s">
        <v>180</v>
      </c>
      <c r="F1085" t="s">
        <v>109</v>
      </c>
      <c r="G1085" s="14">
        <v>788.94</v>
      </c>
      <c r="H1085">
        <v>1470</v>
      </c>
      <c r="I1085">
        <v>0.54</v>
      </c>
      <c r="J1085">
        <v>788.94</v>
      </c>
    </row>
    <row r="1086" spans="1:10" hidden="1" x14ac:dyDescent="0.25">
      <c r="A1086" t="s">
        <v>372</v>
      </c>
      <c r="B1086" t="s">
        <v>88</v>
      </c>
      <c r="C1086" s="1">
        <v>45995</v>
      </c>
      <c r="D1086" t="s">
        <v>1191</v>
      </c>
      <c r="E1086" t="s">
        <v>136</v>
      </c>
      <c r="F1086" t="s">
        <v>855</v>
      </c>
      <c r="G1086" s="14">
        <v>5713268.6500000004</v>
      </c>
      <c r="H1086">
        <v>1470</v>
      </c>
      <c r="I1086">
        <v>3886.58</v>
      </c>
      <c r="J1086">
        <v>6913054.3399999999</v>
      </c>
    </row>
    <row r="1087" spans="1:10" hidden="1" x14ac:dyDescent="0.25">
      <c r="A1087" t="s">
        <v>1386</v>
      </c>
      <c r="B1087" t="s">
        <v>88</v>
      </c>
      <c r="C1087" s="1">
        <v>45995</v>
      </c>
      <c r="D1087" t="s">
        <v>1387</v>
      </c>
      <c r="E1087" t="s">
        <v>1388</v>
      </c>
      <c r="F1087" t="s">
        <v>1389</v>
      </c>
      <c r="G1087" s="14">
        <v>88320</v>
      </c>
      <c r="H1087">
        <v>1470</v>
      </c>
      <c r="I1087">
        <v>60.08</v>
      </c>
      <c r="J1087">
        <v>88320</v>
      </c>
    </row>
    <row r="1088" spans="1:10" hidden="1" x14ac:dyDescent="0.25">
      <c r="A1088" t="s">
        <v>1394</v>
      </c>
      <c r="B1088" t="s">
        <v>88</v>
      </c>
      <c r="C1088" s="1">
        <v>45995</v>
      </c>
      <c r="D1088" t="s">
        <v>1395</v>
      </c>
      <c r="E1088" t="s">
        <v>136</v>
      </c>
      <c r="F1088" t="s">
        <v>855</v>
      </c>
      <c r="G1088" s="14">
        <v>9224040.8000000007</v>
      </c>
      <c r="H1088">
        <v>1470</v>
      </c>
      <c r="I1088">
        <v>6274.86</v>
      </c>
      <c r="J1088">
        <v>11161094.4</v>
      </c>
    </row>
    <row r="1089" spans="1:10" hidden="1" x14ac:dyDescent="0.25">
      <c r="A1089" t="s">
        <v>501</v>
      </c>
      <c r="B1089" t="s">
        <v>88</v>
      </c>
      <c r="C1089" s="1">
        <v>45995</v>
      </c>
      <c r="D1089" t="s">
        <v>1404</v>
      </c>
      <c r="E1089" t="s">
        <v>205</v>
      </c>
      <c r="F1089" t="s">
        <v>109</v>
      </c>
      <c r="G1089" s="14">
        <v>218287.2</v>
      </c>
      <c r="H1089">
        <v>1470</v>
      </c>
      <c r="I1089">
        <v>148.49</v>
      </c>
      <c r="J1089">
        <v>264127.51</v>
      </c>
    </row>
    <row r="1090" spans="1:10" hidden="1" x14ac:dyDescent="0.25">
      <c r="A1090" t="s">
        <v>1232</v>
      </c>
      <c r="B1090" t="s">
        <v>88</v>
      </c>
      <c r="C1090" s="1">
        <v>45994</v>
      </c>
      <c r="D1090" t="s">
        <v>1233</v>
      </c>
      <c r="E1090" t="s">
        <v>136</v>
      </c>
      <c r="F1090" t="s">
        <v>19</v>
      </c>
      <c r="G1090" s="14">
        <v>47900</v>
      </c>
      <c r="H1090">
        <v>1480</v>
      </c>
      <c r="I1090">
        <v>32.36</v>
      </c>
      <c r="J1090">
        <v>57959</v>
      </c>
    </row>
    <row r="1091" spans="1:10" hidden="1" x14ac:dyDescent="0.25">
      <c r="A1091" t="s">
        <v>414</v>
      </c>
      <c r="B1091" t="s">
        <v>88</v>
      </c>
      <c r="C1091" s="1">
        <v>45994</v>
      </c>
      <c r="D1091" t="s">
        <v>1242</v>
      </c>
      <c r="E1091" t="s">
        <v>136</v>
      </c>
      <c r="F1091" t="s">
        <v>855</v>
      </c>
      <c r="G1091" s="14">
        <v>392564.86</v>
      </c>
      <c r="H1091">
        <v>1480</v>
      </c>
      <c r="I1091">
        <v>265.25</v>
      </c>
      <c r="J1091">
        <v>475003.48</v>
      </c>
    </row>
    <row r="1092" spans="1:10" hidden="1" x14ac:dyDescent="0.25">
      <c r="A1092" t="s">
        <v>426</v>
      </c>
      <c r="B1092" t="s">
        <v>279</v>
      </c>
      <c r="C1092" s="1">
        <v>45994</v>
      </c>
      <c r="D1092" t="s">
        <v>1292</v>
      </c>
      <c r="E1092" t="s">
        <v>136</v>
      </c>
      <c r="G1092" s="14">
        <v>-596482.26</v>
      </c>
      <c r="H1092">
        <v>1480</v>
      </c>
      <c r="I1092">
        <v>-403.03</v>
      </c>
      <c r="J1092">
        <v>-721743.53</v>
      </c>
    </row>
    <row r="1093" spans="1:10" hidden="1" x14ac:dyDescent="0.25">
      <c r="A1093" t="s">
        <v>438</v>
      </c>
      <c r="B1093" t="s">
        <v>279</v>
      </c>
      <c r="C1093" s="1">
        <v>45994</v>
      </c>
      <c r="D1093" t="s">
        <v>1303</v>
      </c>
      <c r="E1093" t="s">
        <v>440</v>
      </c>
      <c r="F1093" t="s">
        <v>109</v>
      </c>
      <c r="G1093" s="14">
        <v>-144000</v>
      </c>
      <c r="H1093">
        <v>1480</v>
      </c>
      <c r="I1093">
        <v>-97.3</v>
      </c>
      <c r="J1093">
        <v>-144000</v>
      </c>
    </row>
    <row r="1094" spans="1:10" hidden="1" x14ac:dyDescent="0.25">
      <c r="A1094" t="s">
        <v>1350</v>
      </c>
      <c r="B1094" t="s">
        <v>88</v>
      </c>
      <c r="C1094" s="1">
        <v>45994</v>
      </c>
      <c r="D1094" t="s">
        <v>1351</v>
      </c>
      <c r="E1094" t="s">
        <v>136</v>
      </c>
      <c r="G1094" s="14">
        <v>34710.800000000003</v>
      </c>
      <c r="H1094">
        <v>1480</v>
      </c>
      <c r="I1094">
        <v>23.45</v>
      </c>
      <c r="J1094">
        <v>42000.07</v>
      </c>
    </row>
    <row r="1095" spans="1:10" hidden="1" x14ac:dyDescent="0.25">
      <c r="A1095" t="s">
        <v>1362</v>
      </c>
      <c r="B1095" t="s">
        <v>88</v>
      </c>
      <c r="C1095" s="1">
        <v>45994</v>
      </c>
      <c r="D1095" t="s">
        <v>1365</v>
      </c>
      <c r="E1095" t="s">
        <v>136</v>
      </c>
      <c r="F1095" t="s">
        <v>855</v>
      </c>
      <c r="G1095" s="14">
        <v>1544542.8</v>
      </c>
      <c r="H1095">
        <v>1480</v>
      </c>
      <c r="I1095">
        <v>1043.6099999999999</v>
      </c>
      <c r="J1095">
        <v>1868896.79</v>
      </c>
    </row>
    <row r="1096" spans="1:10" hidden="1" x14ac:dyDescent="0.25">
      <c r="A1096" t="s">
        <v>504</v>
      </c>
      <c r="B1096" t="s">
        <v>88</v>
      </c>
      <c r="C1096" s="1">
        <v>45994</v>
      </c>
      <c r="D1096" t="s">
        <v>1423</v>
      </c>
      <c r="E1096" t="s">
        <v>422</v>
      </c>
      <c r="F1096" t="s">
        <v>109</v>
      </c>
      <c r="G1096" s="14">
        <v>52420</v>
      </c>
      <c r="H1096">
        <v>1480</v>
      </c>
      <c r="I1096">
        <v>35.42</v>
      </c>
      <c r="J1096">
        <v>63428.2</v>
      </c>
    </row>
    <row r="1097" spans="1:10" hidden="1" x14ac:dyDescent="0.25">
      <c r="A1097" t="s">
        <v>697</v>
      </c>
      <c r="B1097" t="s">
        <v>88</v>
      </c>
      <c r="C1097" s="1">
        <v>45993</v>
      </c>
      <c r="D1097" t="s">
        <v>1120</v>
      </c>
      <c r="E1097" t="s">
        <v>136</v>
      </c>
      <c r="F1097" t="s">
        <v>855</v>
      </c>
      <c r="G1097" s="14">
        <v>204966</v>
      </c>
      <c r="H1097">
        <v>1480</v>
      </c>
      <c r="I1097">
        <v>138.49</v>
      </c>
      <c r="J1097">
        <v>248008.86</v>
      </c>
    </row>
    <row r="1098" spans="1:10" hidden="1" x14ac:dyDescent="0.25">
      <c r="A1098" t="s">
        <v>106</v>
      </c>
      <c r="B1098" t="s">
        <v>88</v>
      </c>
      <c r="C1098" s="1">
        <v>45992</v>
      </c>
      <c r="D1098" t="s">
        <v>950</v>
      </c>
      <c r="E1098" t="s">
        <v>102</v>
      </c>
      <c r="F1098" t="s">
        <v>109</v>
      </c>
      <c r="G1098" s="14">
        <v>58375</v>
      </c>
      <c r="H1098">
        <v>1475</v>
      </c>
      <c r="I1098">
        <v>39.58</v>
      </c>
      <c r="J1098">
        <v>58375</v>
      </c>
    </row>
    <row r="1099" spans="1:10" hidden="1" x14ac:dyDescent="0.25">
      <c r="A1099" t="s">
        <v>149</v>
      </c>
      <c r="B1099" t="s">
        <v>88</v>
      </c>
      <c r="C1099" s="1">
        <v>45992</v>
      </c>
      <c r="D1099" t="s">
        <v>994</v>
      </c>
      <c r="E1099" t="s">
        <v>152</v>
      </c>
      <c r="F1099" t="s">
        <v>475</v>
      </c>
      <c r="G1099" s="14">
        <v>42966.75</v>
      </c>
      <c r="H1099">
        <v>1475</v>
      </c>
      <c r="I1099">
        <v>29.13</v>
      </c>
      <c r="J1099">
        <v>51993.75</v>
      </c>
    </row>
    <row r="1100" spans="1:10" hidden="1" x14ac:dyDescent="0.25">
      <c r="A1100" t="s">
        <v>149</v>
      </c>
      <c r="B1100" t="s">
        <v>88</v>
      </c>
      <c r="C1100" s="1">
        <v>45992</v>
      </c>
      <c r="D1100" t="s">
        <v>994</v>
      </c>
      <c r="E1100" t="s">
        <v>153</v>
      </c>
      <c r="F1100" t="s">
        <v>475</v>
      </c>
      <c r="G1100" s="14">
        <v>1165.25</v>
      </c>
      <c r="H1100">
        <v>1475</v>
      </c>
      <c r="I1100">
        <v>0.79</v>
      </c>
      <c r="J1100">
        <v>1165.25</v>
      </c>
    </row>
    <row r="1101" spans="1:10" hidden="1" x14ac:dyDescent="0.25">
      <c r="A1101" t="s">
        <v>1055</v>
      </c>
      <c r="B1101" t="s">
        <v>88</v>
      </c>
      <c r="C1101" s="1">
        <v>45992</v>
      </c>
      <c r="D1101" t="s">
        <v>1056</v>
      </c>
      <c r="E1101" t="s">
        <v>90</v>
      </c>
      <c r="F1101" t="s">
        <v>91</v>
      </c>
      <c r="G1101" s="14">
        <v>50836.2</v>
      </c>
      <c r="H1101">
        <v>1475</v>
      </c>
      <c r="I1101">
        <v>34.47</v>
      </c>
      <c r="J1101">
        <v>61511.81</v>
      </c>
    </row>
    <row r="1102" spans="1:10" hidden="1" x14ac:dyDescent="0.25">
      <c r="A1102" t="s">
        <v>1055</v>
      </c>
      <c r="B1102" t="s">
        <v>88</v>
      </c>
      <c r="C1102" s="1">
        <v>45992</v>
      </c>
      <c r="D1102" t="s">
        <v>1056</v>
      </c>
      <c r="E1102" t="s">
        <v>92</v>
      </c>
      <c r="F1102" t="s">
        <v>91</v>
      </c>
      <c r="G1102" s="14">
        <v>9482.18</v>
      </c>
      <c r="H1102">
        <v>1475</v>
      </c>
      <c r="I1102">
        <v>6.43</v>
      </c>
      <c r="J1102">
        <v>9482.18</v>
      </c>
    </row>
    <row r="1103" spans="1:10" hidden="1" x14ac:dyDescent="0.25">
      <c r="A1103" t="s">
        <v>265</v>
      </c>
      <c r="B1103" t="s">
        <v>88</v>
      </c>
      <c r="C1103" s="1">
        <v>45992</v>
      </c>
      <c r="D1103" t="s">
        <v>1106</v>
      </c>
      <c r="E1103" t="s">
        <v>267</v>
      </c>
      <c r="F1103" t="s">
        <v>109</v>
      </c>
      <c r="G1103" s="14">
        <v>76100</v>
      </c>
      <c r="H1103">
        <v>1475</v>
      </c>
      <c r="I1103">
        <v>51.59</v>
      </c>
      <c r="J1103">
        <v>92081</v>
      </c>
    </row>
    <row r="1104" spans="1:10" hidden="1" x14ac:dyDescent="0.25">
      <c r="A1104" t="s">
        <v>275</v>
      </c>
      <c r="B1104" t="s">
        <v>88</v>
      </c>
      <c r="C1104" s="1">
        <v>45992</v>
      </c>
      <c r="D1104" t="s">
        <v>1116</v>
      </c>
      <c r="E1104" t="s">
        <v>90</v>
      </c>
      <c r="F1104" t="s">
        <v>91</v>
      </c>
      <c r="G1104" s="14">
        <v>962575.46</v>
      </c>
      <c r="H1104">
        <v>1475</v>
      </c>
      <c r="I1104">
        <v>652.59</v>
      </c>
      <c r="J1104">
        <v>1164716.31</v>
      </c>
    </row>
    <row r="1105" spans="1:10" hidden="1" x14ac:dyDescent="0.25">
      <c r="A1105" t="s">
        <v>275</v>
      </c>
      <c r="B1105" t="s">
        <v>88</v>
      </c>
      <c r="C1105" s="1">
        <v>45992</v>
      </c>
      <c r="D1105" t="s">
        <v>1116</v>
      </c>
      <c r="E1105" t="s">
        <v>92</v>
      </c>
      <c r="F1105" t="s">
        <v>91</v>
      </c>
      <c r="G1105" s="14">
        <v>153364.32</v>
      </c>
      <c r="H1105">
        <v>1475</v>
      </c>
      <c r="I1105">
        <v>103.98</v>
      </c>
      <c r="J1105">
        <v>153364.32</v>
      </c>
    </row>
    <row r="1106" spans="1:10" hidden="1" x14ac:dyDescent="0.25">
      <c r="A1106" t="s">
        <v>364</v>
      </c>
      <c r="B1106" t="s">
        <v>88</v>
      </c>
      <c r="C1106" s="1">
        <v>45992</v>
      </c>
      <c r="D1106" t="s">
        <v>1183</v>
      </c>
      <c r="E1106" t="s">
        <v>102</v>
      </c>
      <c r="F1106" t="s">
        <v>109</v>
      </c>
      <c r="G1106" s="14">
        <v>15000</v>
      </c>
      <c r="H1106">
        <v>1475</v>
      </c>
      <c r="I1106">
        <v>10.17</v>
      </c>
      <c r="J1106">
        <v>15000</v>
      </c>
    </row>
    <row r="1107" spans="1:10" hidden="1" x14ac:dyDescent="0.25">
      <c r="A1107" t="s">
        <v>791</v>
      </c>
      <c r="B1107" t="s">
        <v>96</v>
      </c>
      <c r="C1107" s="1">
        <v>45992</v>
      </c>
      <c r="D1107" t="s">
        <v>1249</v>
      </c>
      <c r="E1107" t="s">
        <v>98</v>
      </c>
      <c r="F1107" t="s">
        <v>551</v>
      </c>
      <c r="G1107" s="14">
        <v>29669.07</v>
      </c>
      <c r="H1107">
        <v>1475</v>
      </c>
      <c r="I1107">
        <v>20.11</v>
      </c>
      <c r="J1107">
        <v>29669.07</v>
      </c>
    </row>
    <row r="1108" spans="1:10" hidden="1" x14ac:dyDescent="0.25">
      <c r="A1108" t="s">
        <v>791</v>
      </c>
      <c r="B1108" t="s">
        <v>96</v>
      </c>
      <c r="C1108" s="1">
        <v>45992</v>
      </c>
      <c r="D1108" t="s">
        <v>1250</v>
      </c>
      <c r="E1108" t="s">
        <v>98</v>
      </c>
      <c r="F1108" t="s">
        <v>793</v>
      </c>
      <c r="G1108" s="14">
        <v>3030.62</v>
      </c>
      <c r="H1108">
        <v>1475</v>
      </c>
      <c r="I1108">
        <v>2.0499999999999998</v>
      </c>
      <c r="J1108">
        <v>3030.62</v>
      </c>
    </row>
    <row r="1109" spans="1:10" hidden="1" x14ac:dyDescent="0.25">
      <c r="A1109" t="s">
        <v>426</v>
      </c>
      <c r="B1109" t="s">
        <v>88</v>
      </c>
      <c r="C1109" s="1">
        <v>45992</v>
      </c>
      <c r="D1109" t="s">
        <v>1267</v>
      </c>
      <c r="E1109" t="s">
        <v>136</v>
      </c>
      <c r="F1109" t="s">
        <v>13</v>
      </c>
      <c r="G1109" s="14">
        <v>793752.02</v>
      </c>
      <c r="H1109">
        <v>1475</v>
      </c>
      <c r="I1109">
        <v>538.14</v>
      </c>
      <c r="J1109">
        <v>960439.94</v>
      </c>
    </row>
    <row r="1110" spans="1:10" hidden="1" x14ac:dyDescent="0.25">
      <c r="A1110" t="s">
        <v>438</v>
      </c>
      <c r="B1110" t="s">
        <v>88</v>
      </c>
      <c r="C1110" s="1">
        <v>45992</v>
      </c>
      <c r="D1110" t="s">
        <v>1300</v>
      </c>
      <c r="E1110" t="s">
        <v>440</v>
      </c>
      <c r="F1110" t="s">
        <v>109</v>
      </c>
      <c r="G1110" s="14">
        <v>144000</v>
      </c>
      <c r="H1110">
        <v>1475</v>
      </c>
      <c r="I1110">
        <v>97.63</v>
      </c>
      <c r="J1110">
        <v>144000</v>
      </c>
    </row>
    <row r="1111" spans="1:10" hidden="1" x14ac:dyDescent="0.25">
      <c r="A1111" t="s">
        <v>478</v>
      </c>
      <c r="B1111" t="s">
        <v>88</v>
      </c>
      <c r="C1111" s="1">
        <v>45992</v>
      </c>
      <c r="D1111" t="s">
        <v>1361</v>
      </c>
      <c r="E1111" t="s">
        <v>267</v>
      </c>
      <c r="F1111" t="s">
        <v>109</v>
      </c>
      <c r="G1111" s="14">
        <v>22269.42</v>
      </c>
      <c r="H1111">
        <v>1475</v>
      </c>
      <c r="I1111">
        <v>15.1</v>
      </c>
      <c r="J1111">
        <v>26946</v>
      </c>
    </row>
    <row r="1112" spans="1:10" hidden="1" x14ac:dyDescent="0.25">
      <c r="A1112" t="s">
        <v>512</v>
      </c>
      <c r="B1112" t="s">
        <v>88</v>
      </c>
      <c r="C1112" s="1">
        <v>45992</v>
      </c>
      <c r="D1112" t="s">
        <v>1444</v>
      </c>
      <c r="E1112" t="s">
        <v>136</v>
      </c>
      <c r="F1112" t="s">
        <v>13</v>
      </c>
      <c r="G1112" s="14">
        <v>146615</v>
      </c>
      <c r="H1112">
        <v>1475</v>
      </c>
      <c r="I1112">
        <v>99.4</v>
      </c>
      <c r="J1112">
        <v>177404.15</v>
      </c>
    </row>
    <row r="1113" spans="1:10" hidden="1" x14ac:dyDescent="0.25">
      <c r="A1113" t="s">
        <v>512</v>
      </c>
      <c r="B1113" t="s">
        <v>88</v>
      </c>
      <c r="C1113" s="1">
        <v>45992</v>
      </c>
      <c r="D1113" t="s">
        <v>1444</v>
      </c>
      <c r="E1113" t="s">
        <v>136</v>
      </c>
      <c r="F1113" t="s">
        <v>25</v>
      </c>
      <c r="G1113" s="14">
        <v>59885</v>
      </c>
      <c r="H1113">
        <v>1475</v>
      </c>
      <c r="I1113">
        <v>40.6</v>
      </c>
      <c r="J1113">
        <v>72460.850000000006</v>
      </c>
    </row>
    <row r="1114" spans="1:10" hidden="1" x14ac:dyDescent="0.25">
      <c r="A1114" t="s">
        <v>125</v>
      </c>
      <c r="B1114" t="s">
        <v>88</v>
      </c>
      <c r="C1114" s="1">
        <v>45991</v>
      </c>
      <c r="D1114" t="s">
        <v>969</v>
      </c>
      <c r="E1114" t="s">
        <v>114</v>
      </c>
      <c r="F1114" t="s">
        <v>117</v>
      </c>
      <c r="G1114" s="14">
        <v>3594.15</v>
      </c>
      <c r="H1114">
        <v>1475</v>
      </c>
      <c r="I1114">
        <v>2.44</v>
      </c>
      <c r="J1114">
        <v>4348.93</v>
      </c>
    </row>
    <row r="1115" spans="1:10" hidden="1" x14ac:dyDescent="0.25">
      <c r="A1115" t="s">
        <v>125</v>
      </c>
      <c r="B1115" t="s">
        <v>88</v>
      </c>
      <c r="C1115" s="1">
        <v>45991</v>
      </c>
      <c r="D1115" t="s">
        <v>969</v>
      </c>
      <c r="E1115" t="s">
        <v>127</v>
      </c>
      <c r="F1115" t="s">
        <v>117</v>
      </c>
      <c r="G1115" s="14">
        <v>359.41</v>
      </c>
      <c r="H1115">
        <v>1475</v>
      </c>
      <c r="I1115">
        <v>0.24</v>
      </c>
      <c r="J1115">
        <v>359.41</v>
      </c>
    </row>
    <row r="1116" spans="1:10" hidden="1" x14ac:dyDescent="0.25">
      <c r="A1116" t="s">
        <v>1055</v>
      </c>
      <c r="B1116" t="s">
        <v>88</v>
      </c>
      <c r="C1116" s="1">
        <v>45991</v>
      </c>
      <c r="D1116" t="s">
        <v>1057</v>
      </c>
      <c r="E1116" t="s">
        <v>90</v>
      </c>
      <c r="F1116" t="s">
        <v>91</v>
      </c>
      <c r="G1116" s="14">
        <v>10504.5</v>
      </c>
      <c r="H1116">
        <v>1475</v>
      </c>
      <c r="I1116">
        <v>7.12</v>
      </c>
      <c r="J1116">
        <v>12710.46</v>
      </c>
    </row>
    <row r="1117" spans="1:10" hidden="1" x14ac:dyDescent="0.25">
      <c r="A1117" t="s">
        <v>1055</v>
      </c>
      <c r="B1117" t="s">
        <v>88</v>
      </c>
      <c r="C1117" s="1">
        <v>45991</v>
      </c>
      <c r="D1117" t="s">
        <v>1057</v>
      </c>
      <c r="E1117" t="s">
        <v>92</v>
      </c>
      <c r="F1117" t="s">
        <v>91</v>
      </c>
      <c r="G1117" s="14">
        <v>2287.54</v>
      </c>
      <c r="H1117">
        <v>1475</v>
      </c>
      <c r="I1117">
        <v>1.55</v>
      </c>
      <c r="J1117">
        <v>2287.54</v>
      </c>
    </row>
    <row r="1118" spans="1:10" hidden="1" x14ac:dyDescent="0.25">
      <c r="A1118" t="s">
        <v>349</v>
      </c>
      <c r="B1118" t="s">
        <v>88</v>
      </c>
      <c r="C1118" s="1">
        <v>45991</v>
      </c>
      <c r="D1118" t="s">
        <v>1172</v>
      </c>
      <c r="E1118" t="s">
        <v>102</v>
      </c>
      <c r="F1118" t="s">
        <v>109</v>
      </c>
      <c r="G1118" s="14">
        <v>186822</v>
      </c>
      <c r="H1118">
        <v>1475</v>
      </c>
      <c r="I1118">
        <v>126.66</v>
      </c>
      <c r="J1118">
        <v>186822</v>
      </c>
    </row>
    <row r="1119" spans="1:10" hidden="1" x14ac:dyDescent="0.25">
      <c r="A1119" t="s">
        <v>1215</v>
      </c>
      <c r="B1119" t="s">
        <v>96</v>
      </c>
      <c r="C1119" s="1">
        <v>45991</v>
      </c>
      <c r="D1119" t="s">
        <v>1216</v>
      </c>
      <c r="E1119" t="s">
        <v>102</v>
      </c>
      <c r="F1119" t="s">
        <v>109</v>
      </c>
      <c r="G1119" s="14">
        <v>109386.9</v>
      </c>
      <c r="H1119">
        <v>1475</v>
      </c>
      <c r="I1119">
        <v>74.16</v>
      </c>
      <c r="J1119">
        <v>109386.9</v>
      </c>
    </row>
    <row r="1120" spans="1:10" hidden="1" x14ac:dyDescent="0.25">
      <c r="A1120" t="s">
        <v>246</v>
      </c>
      <c r="B1120" t="s">
        <v>88</v>
      </c>
      <c r="C1120" s="1">
        <v>45990</v>
      </c>
      <c r="D1120" t="s">
        <v>1092</v>
      </c>
      <c r="E1120" t="s">
        <v>114</v>
      </c>
      <c r="F1120" t="s">
        <v>117</v>
      </c>
      <c r="G1120" s="14">
        <v>16639.72</v>
      </c>
      <c r="H1120">
        <v>1475</v>
      </c>
      <c r="I1120">
        <v>11.28</v>
      </c>
      <c r="J1120">
        <v>20134.07</v>
      </c>
    </row>
    <row r="1121" spans="1:10" hidden="1" x14ac:dyDescent="0.25">
      <c r="A1121" t="s">
        <v>400</v>
      </c>
      <c r="B1121" t="s">
        <v>88</v>
      </c>
      <c r="C1121" s="1">
        <v>45990</v>
      </c>
      <c r="D1121" t="s">
        <v>1230</v>
      </c>
      <c r="E1121" t="s">
        <v>184</v>
      </c>
      <c r="F1121" t="s">
        <v>13</v>
      </c>
      <c r="G1121" s="14">
        <v>51855.92</v>
      </c>
      <c r="H1121">
        <v>1475</v>
      </c>
      <c r="I1121">
        <v>35.159999999999997</v>
      </c>
      <c r="J1121">
        <v>62745.67</v>
      </c>
    </row>
    <row r="1122" spans="1:10" hidden="1" x14ac:dyDescent="0.25">
      <c r="A1122" t="s">
        <v>400</v>
      </c>
      <c r="B1122" t="s">
        <v>88</v>
      </c>
      <c r="C1122" s="1">
        <v>45990</v>
      </c>
      <c r="D1122" t="s">
        <v>1230</v>
      </c>
      <c r="E1122" t="s">
        <v>184</v>
      </c>
      <c r="F1122" t="s">
        <v>25</v>
      </c>
      <c r="G1122" s="14">
        <v>7748.58</v>
      </c>
      <c r="H1122">
        <v>1475</v>
      </c>
      <c r="I1122">
        <v>5.25</v>
      </c>
      <c r="J1122">
        <v>9375.7800000000007</v>
      </c>
    </row>
    <row r="1123" spans="1:10" hidden="1" x14ac:dyDescent="0.25">
      <c r="A1123" t="s">
        <v>289</v>
      </c>
      <c r="B1123" t="s">
        <v>88</v>
      </c>
      <c r="C1123" s="1">
        <v>45989</v>
      </c>
      <c r="D1123" t="s">
        <v>1124</v>
      </c>
      <c r="E1123" t="s">
        <v>138</v>
      </c>
      <c r="F1123" t="s">
        <v>139</v>
      </c>
      <c r="G1123" s="14">
        <v>144681.04</v>
      </c>
      <c r="H1123">
        <v>1475</v>
      </c>
      <c r="I1123">
        <v>98.09</v>
      </c>
      <c r="J1123">
        <v>175064.06</v>
      </c>
    </row>
    <row r="1124" spans="1:10" hidden="1" x14ac:dyDescent="0.25">
      <c r="A1124" t="s">
        <v>289</v>
      </c>
      <c r="B1124" t="s">
        <v>88</v>
      </c>
      <c r="C1124" s="1">
        <v>45989</v>
      </c>
      <c r="D1124" t="s">
        <v>1125</v>
      </c>
      <c r="E1124" t="s">
        <v>138</v>
      </c>
      <c r="F1124" t="s">
        <v>139</v>
      </c>
      <c r="G1124" s="14">
        <v>65828.95</v>
      </c>
      <c r="H1124">
        <v>1475</v>
      </c>
      <c r="I1124">
        <v>44.63</v>
      </c>
      <c r="J1124">
        <v>79653.03</v>
      </c>
    </row>
    <row r="1125" spans="1:10" hidden="1" x14ac:dyDescent="0.25">
      <c r="A1125" t="s">
        <v>521</v>
      </c>
      <c r="B1125" t="s">
        <v>88</v>
      </c>
      <c r="C1125" s="1">
        <v>45989</v>
      </c>
      <c r="D1125" t="s">
        <v>1467</v>
      </c>
      <c r="E1125" t="s">
        <v>136</v>
      </c>
      <c r="F1125" t="s">
        <v>135</v>
      </c>
      <c r="G1125" s="14">
        <v>2900</v>
      </c>
      <c r="H1125">
        <v>1475</v>
      </c>
      <c r="I1125">
        <v>1.97</v>
      </c>
      <c r="J1125">
        <v>3509</v>
      </c>
    </row>
    <row r="1126" spans="1:10" hidden="1" x14ac:dyDescent="0.25">
      <c r="A1126" t="s">
        <v>316</v>
      </c>
      <c r="B1126" t="s">
        <v>88</v>
      </c>
      <c r="C1126" s="1">
        <v>45988</v>
      </c>
      <c r="D1126" t="s">
        <v>1146</v>
      </c>
      <c r="E1126" t="s">
        <v>136</v>
      </c>
      <c r="F1126" t="s">
        <v>13</v>
      </c>
      <c r="G1126" s="14">
        <v>18234.009999999998</v>
      </c>
      <c r="H1126">
        <v>1475</v>
      </c>
      <c r="I1126">
        <v>12.36</v>
      </c>
      <c r="J1126">
        <v>22063.15</v>
      </c>
    </row>
    <row r="1127" spans="1:10" hidden="1" x14ac:dyDescent="0.25">
      <c r="A1127" t="s">
        <v>455</v>
      </c>
      <c r="B1127" t="s">
        <v>88</v>
      </c>
      <c r="C1127" s="1">
        <v>45988</v>
      </c>
      <c r="D1127" t="s">
        <v>1332</v>
      </c>
      <c r="E1127" t="s">
        <v>136</v>
      </c>
      <c r="G1127" s="14">
        <v>6299.71</v>
      </c>
      <c r="H1127">
        <v>1475</v>
      </c>
      <c r="I1127">
        <v>4.2699999999999996</v>
      </c>
      <c r="J1127">
        <v>7622.65</v>
      </c>
    </row>
    <row r="1128" spans="1:10" hidden="1" x14ac:dyDescent="0.25">
      <c r="A1128" t="s">
        <v>455</v>
      </c>
      <c r="B1128" t="s">
        <v>88</v>
      </c>
      <c r="C1128" s="1">
        <v>45988</v>
      </c>
      <c r="D1128" t="s">
        <v>1332</v>
      </c>
      <c r="E1128" t="s">
        <v>136</v>
      </c>
      <c r="F1128" t="s">
        <v>13</v>
      </c>
      <c r="G1128" s="14">
        <v>541775.03</v>
      </c>
      <c r="H1128">
        <v>1475</v>
      </c>
      <c r="I1128">
        <v>367.31</v>
      </c>
      <c r="J1128">
        <v>655547.78</v>
      </c>
    </row>
    <row r="1129" spans="1:10" hidden="1" x14ac:dyDescent="0.25">
      <c r="A1129" t="s">
        <v>455</v>
      </c>
      <c r="B1129" t="s">
        <v>88</v>
      </c>
      <c r="C1129" s="1">
        <v>45988</v>
      </c>
      <c r="D1129" t="s">
        <v>1332</v>
      </c>
      <c r="E1129" t="s">
        <v>136</v>
      </c>
      <c r="F1129" t="s">
        <v>25</v>
      </c>
      <c r="G1129" s="14">
        <v>81896.23</v>
      </c>
      <c r="H1129">
        <v>1475</v>
      </c>
      <c r="I1129">
        <v>55.52</v>
      </c>
      <c r="J1129">
        <v>99094.44</v>
      </c>
    </row>
    <row r="1130" spans="1:10" hidden="1" x14ac:dyDescent="0.25">
      <c r="A1130" t="s">
        <v>226</v>
      </c>
      <c r="B1130" t="s">
        <v>88</v>
      </c>
      <c r="C1130" s="1">
        <v>45987</v>
      </c>
      <c r="D1130" t="s">
        <v>1070</v>
      </c>
      <c r="E1130" t="s">
        <v>228</v>
      </c>
      <c r="F1130" t="s">
        <v>109</v>
      </c>
      <c r="G1130" s="14">
        <v>195682.88</v>
      </c>
      <c r="H1130">
        <v>1475</v>
      </c>
      <c r="I1130">
        <v>132.66999999999999</v>
      </c>
      <c r="J1130">
        <v>248517.26</v>
      </c>
    </row>
    <row r="1131" spans="1:10" hidden="1" x14ac:dyDescent="0.25">
      <c r="A1131" t="s">
        <v>226</v>
      </c>
      <c r="B1131" t="s">
        <v>88</v>
      </c>
      <c r="C1131" s="1">
        <v>45987</v>
      </c>
      <c r="D1131" t="s">
        <v>1070</v>
      </c>
      <c r="E1131" t="s">
        <v>229</v>
      </c>
      <c r="F1131" t="s">
        <v>109</v>
      </c>
      <c r="G1131" s="14">
        <v>46570.52</v>
      </c>
      <c r="H1131">
        <v>1475</v>
      </c>
      <c r="I1131">
        <v>31.57</v>
      </c>
      <c r="J1131">
        <v>46570.52</v>
      </c>
    </row>
    <row r="1132" spans="1:10" hidden="1" x14ac:dyDescent="0.25">
      <c r="A1132" t="s">
        <v>226</v>
      </c>
      <c r="B1132" t="s">
        <v>88</v>
      </c>
      <c r="C1132" s="1">
        <v>45987</v>
      </c>
      <c r="D1132" t="s">
        <v>1071</v>
      </c>
      <c r="E1132" t="s">
        <v>228</v>
      </c>
      <c r="F1132" t="s">
        <v>109</v>
      </c>
      <c r="G1132" s="14">
        <v>197672.03</v>
      </c>
      <c r="H1132">
        <v>1475</v>
      </c>
      <c r="I1132">
        <v>134.01</v>
      </c>
      <c r="J1132">
        <v>251043.48</v>
      </c>
    </row>
    <row r="1133" spans="1:10" hidden="1" x14ac:dyDescent="0.25">
      <c r="A1133" t="s">
        <v>226</v>
      </c>
      <c r="B1133" t="s">
        <v>88</v>
      </c>
      <c r="C1133" s="1">
        <v>45987</v>
      </c>
      <c r="D1133" t="s">
        <v>1071</v>
      </c>
      <c r="E1133" t="s">
        <v>229</v>
      </c>
      <c r="F1133" t="s">
        <v>109</v>
      </c>
      <c r="G1133" s="14">
        <v>44478.09</v>
      </c>
      <c r="H1133">
        <v>1475</v>
      </c>
      <c r="I1133">
        <v>30.15</v>
      </c>
      <c r="J1133">
        <v>44478.09</v>
      </c>
    </row>
    <row r="1134" spans="1:10" hidden="1" x14ac:dyDescent="0.25">
      <c r="A1134" t="s">
        <v>438</v>
      </c>
      <c r="B1134" t="s">
        <v>279</v>
      </c>
      <c r="C1134" s="1">
        <v>45986</v>
      </c>
      <c r="D1134" t="s">
        <v>1304</v>
      </c>
      <c r="E1134" t="s">
        <v>440</v>
      </c>
      <c r="F1134" t="s">
        <v>109</v>
      </c>
      <c r="G1134" s="14">
        <v>-144000</v>
      </c>
      <c r="H1134">
        <v>1470</v>
      </c>
      <c r="I1134">
        <v>-97.96</v>
      </c>
      <c r="J1134">
        <v>-144000</v>
      </c>
    </row>
    <row r="1135" spans="1:10" hidden="1" x14ac:dyDescent="0.25">
      <c r="A1135" t="s">
        <v>510</v>
      </c>
      <c r="B1135" t="s">
        <v>96</v>
      </c>
      <c r="C1135" s="1">
        <v>45986</v>
      </c>
      <c r="D1135" t="s">
        <v>1434</v>
      </c>
      <c r="E1135" t="s">
        <v>127</v>
      </c>
      <c r="F1135" t="s">
        <v>117</v>
      </c>
      <c r="G1135" s="14">
        <v>151.63</v>
      </c>
      <c r="H1135">
        <v>1470</v>
      </c>
      <c r="I1135">
        <v>0.1</v>
      </c>
      <c r="J1135">
        <v>151.63</v>
      </c>
    </row>
    <row r="1136" spans="1:10" hidden="1" x14ac:dyDescent="0.25">
      <c r="A1136" t="s">
        <v>533</v>
      </c>
      <c r="B1136" t="s">
        <v>88</v>
      </c>
      <c r="C1136" s="1">
        <v>45986</v>
      </c>
      <c r="D1136" t="s">
        <v>1492</v>
      </c>
      <c r="E1136" t="s">
        <v>90</v>
      </c>
      <c r="F1136" t="s">
        <v>91</v>
      </c>
      <c r="G1136" s="14">
        <v>13993.56</v>
      </c>
      <c r="H1136">
        <v>1470</v>
      </c>
      <c r="I1136">
        <v>9.52</v>
      </c>
      <c r="J1136">
        <v>16932.22</v>
      </c>
    </row>
    <row r="1137" spans="1:10" hidden="1" x14ac:dyDescent="0.25">
      <c r="A1137" t="s">
        <v>533</v>
      </c>
      <c r="B1137" t="s">
        <v>88</v>
      </c>
      <c r="C1137" s="1">
        <v>45986</v>
      </c>
      <c r="D1137" t="s">
        <v>1492</v>
      </c>
      <c r="E1137" t="s">
        <v>92</v>
      </c>
      <c r="F1137" t="s">
        <v>91</v>
      </c>
      <c r="G1137" s="14">
        <v>2067.79</v>
      </c>
      <c r="H1137">
        <v>1470</v>
      </c>
      <c r="I1137">
        <v>1.41</v>
      </c>
      <c r="J1137">
        <v>2067.79</v>
      </c>
    </row>
    <row r="1138" spans="1:10" hidden="1" x14ac:dyDescent="0.25">
      <c r="A1138" t="s">
        <v>333</v>
      </c>
      <c r="B1138" t="s">
        <v>88</v>
      </c>
      <c r="C1138" s="1">
        <v>45983</v>
      </c>
      <c r="D1138" t="s">
        <v>1159</v>
      </c>
      <c r="E1138" t="s">
        <v>90</v>
      </c>
      <c r="F1138" t="s">
        <v>91</v>
      </c>
      <c r="G1138" s="14">
        <v>14277.39</v>
      </c>
      <c r="H1138">
        <v>1450</v>
      </c>
      <c r="I1138">
        <v>9.85</v>
      </c>
      <c r="J1138">
        <v>17275.650000000001</v>
      </c>
    </row>
    <row r="1139" spans="1:10" hidden="1" x14ac:dyDescent="0.25">
      <c r="A1139" t="s">
        <v>333</v>
      </c>
      <c r="B1139" t="s">
        <v>88</v>
      </c>
      <c r="C1139" s="1">
        <v>45983</v>
      </c>
      <c r="D1139" t="s">
        <v>1159</v>
      </c>
      <c r="E1139" t="s">
        <v>92</v>
      </c>
      <c r="F1139" t="s">
        <v>91</v>
      </c>
      <c r="G1139" s="14">
        <v>2760.41</v>
      </c>
      <c r="H1139">
        <v>1450</v>
      </c>
      <c r="I1139">
        <v>1.9</v>
      </c>
      <c r="J1139">
        <v>2760.41</v>
      </c>
    </row>
    <row r="1140" spans="1:10" hidden="1" x14ac:dyDescent="0.25">
      <c r="A1140" t="s">
        <v>319</v>
      </c>
      <c r="B1140" t="s">
        <v>88</v>
      </c>
      <c r="C1140" s="1">
        <v>45982</v>
      </c>
      <c r="D1140" t="s">
        <v>1152</v>
      </c>
      <c r="E1140" t="s">
        <v>274</v>
      </c>
      <c r="F1140" t="s">
        <v>135</v>
      </c>
      <c r="G1140" s="14">
        <v>39642.870000000003</v>
      </c>
      <c r="H1140">
        <v>1450</v>
      </c>
      <c r="I1140">
        <v>27.34</v>
      </c>
      <c r="J1140">
        <v>47967.87</v>
      </c>
    </row>
    <row r="1141" spans="1:10" hidden="1" x14ac:dyDescent="0.25">
      <c r="A1141" t="s">
        <v>400</v>
      </c>
      <c r="B1141" t="s">
        <v>88</v>
      </c>
      <c r="C1141" s="1">
        <v>45982</v>
      </c>
      <c r="D1141" t="s">
        <v>1226</v>
      </c>
      <c r="E1141" t="s">
        <v>184</v>
      </c>
      <c r="F1141" t="s">
        <v>135</v>
      </c>
      <c r="G1141" s="14">
        <v>14534.48</v>
      </c>
      <c r="H1141">
        <v>1450</v>
      </c>
      <c r="I1141">
        <v>10.02</v>
      </c>
      <c r="J1141">
        <v>17586.72</v>
      </c>
    </row>
    <row r="1142" spans="1:10" hidden="1" x14ac:dyDescent="0.25">
      <c r="A1142" t="s">
        <v>515</v>
      </c>
      <c r="B1142" t="s">
        <v>88</v>
      </c>
      <c r="C1142" s="1">
        <v>45982</v>
      </c>
      <c r="D1142" t="s">
        <v>1458</v>
      </c>
      <c r="E1142" t="s">
        <v>184</v>
      </c>
      <c r="F1142" t="s">
        <v>8</v>
      </c>
      <c r="G1142" s="14">
        <v>13637</v>
      </c>
      <c r="H1142">
        <v>1450</v>
      </c>
      <c r="I1142">
        <v>9.4</v>
      </c>
      <c r="J1142">
        <v>16500.77</v>
      </c>
    </row>
    <row r="1143" spans="1:10" hidden="1" x14ac:dyDescent="0.25">
      <c r="A1143" t="s">
        <v>1436</v>
      </c>
      <c r="B1143" t="s">
        <v>88</v>
      </c>
      <c r="C1143" s="1">
        <v>45980</v>
      </c>
      <c r="D1143" t="s">
        <v>1438</v>
      </c>
      <c r="E1143" t="s">
        <v>90</v>
      </c>
      <c r="F1143" t="s">
        <v>91</v>
      </c>
      <c r="G1143" s="14">
        <v>18016.53</v>
      </c>
      <c r="H1143">
        <v>1430</v>
      </c>
      <c r="I1143">
        <v>12.6</v>
      </c>
      <c r="J1143">
        <v>21800</v>
      </c>
    </row>
    <row r="1144" spans="1:10" hidden="1" x14ac:dyDescent="0.25">
      <c r="A1144" t="s">
        <v>533</v>
      </c>
      <c r="B1144" t="s">
        <v>88</v>
      </c>
      <c r="C1144" s="1">
        <v>45980</v>
      </c>
      <c r="D1144" t="s">
        <v>1487</v>
      </c>
      <c r="E1144" t="s">
        <v>90</v>
      </c>
      <c r="F1144" t="s">
        <v>91</v>
      </c>
      <c r="G1144" s="14">
        <v>27356.84</v>
      </c>
      <c r="H1144">
        <v>1430</v>
      </c>
      <c r="I1144">
        <v>19.13</v>
      </c>
      <c r="J1144">
        <v>33101.79</v>
      </c>
    </row>
    <row r="1145" spans="1:10" hidden="1" x14ac:dyDescent="0.25">
      <c r="A1145" t="s">
        <v>533</v>
      </c>
      <c r="B1145" t="s">
        <v>88</v>
      </c>
      <c r="C1145" s="1">
        <v>45980</v>
      </c>
      <c r="D1145" t="s">
        <v>1487</v>
      </c>
      <c r="E1145" t="s">
        <v>92</v>
      </c>
      <c r="F1145" t="s">
        <v>91</v>
      </c>
      <c r="G1145" s="14">
        <v>6898.21</v>
      </c>
      <c r="H1145">
        <v>1430</v>
      </c>
      <c r="I1145">
        <v>4.82</v>
      </c>
      <c r="J1145">
        <v>6898.21</v>
      </c>
    </row>
    <row r="1146" spans="1:10" hidden="1" x14ac:dyDescent="0.25">
      <c r="A1146" t="s">
        <v>319</v>
      </c>
      <c r="B1146" t="s">
        <v>88</v>
      </c>
      <c r="C1146" s="1">
        <v>45979</v>
      </c>
      <c r="D1146" t="s">
        <v>1150</v>
      </c>
      <c r="E1146" t="s">
        <v>274</v>
      </c>
      <c r="F1146" t="s">
        <v>135</v>
      </c>
      <c r="G1146" s="14">
        <v>53057.87</v>
      </c>
      <c r="H1146">
        <v>1425</v>
      </c>
      <c r="I1146">
        <v>37.229999999999997</v>
      </c>
      <c r="J1146">
        <v>64200.02</v>
      </c>
    </row>
    <row r="1147" spans="1:10" hidden="1" x14ac:dyDescent="0.25">
      <c r="A1147" t="s">
        <v>319</v>
      </c>
      <c r="B1147" t="s">
        <v>88</v>
      </c>
      <c r="C1147" s="1">
        <v>45979</v>
      </c>
      <c r="D1147" t="s">
        <v>1151</v>
      </c>
      <c r="E1147" t="s">
        <v>274</v>
      </c>
      <c r="F1147" t="s">
        <v>135</v>
      </c>
      <c r="G1147" s="14">
        <v>9090.91</v>
      </c>
      <c r="H1147">
        <v>1425</v>
      </c>
      <c r="I1147">
        <v>6.38</v>
      </c>
      <c r="J1147">
        <v>11000</v>
      </c>
    </row>
    <row r="1148" spans="1:10" hidden="1" x14ac:dyDescent="0.25">
      <c r="A1148" t="s">
        <v>346</v>
      </c>
      <c r="B1148" t="s">
        <v>88</v>
      </c>
      <c r="C1148" s="1">
        <v>45979</v>
      </c>
      <c r="D1148" t="s">
        <v>1169</v>
      </c>
      <c r="E1148" t="s">
        <v>90</v>
      </c>
      <c r="F1148" t="s">
        <v>91</v>
      </c>
      <c r="G1148" s="14">
        <v>204278.46</v>
      </c>
      <c r="H1148">
        <v>1425</v>
      </c>
      <c r="I1148">
        <v>143.35</v>
      </c>
      <c r="J1148">
        <v>247176.95</v>
      </c>
    </row>
    <row r="1149" spans="1:10" hidden="1" x14ac:dyDescent="0.25">
      <c r="A1149" t="s">
        <v>346</v>
      </c>
      <c r="B1149" t="s">
        <v>88</v>
      </c>
      <c r="C1149" s="1">
        <v>45979</v>
      </c>
      <c r="D1149" t="s">
        <v>1169</v>
      </c>
      <c r="E1149" t="s">
        <v>92</v>
      </c>
      <c r="F1149" t="s">
        <v>91</v>
      </c>
      <c r="G1149" s="14">
        <v>32823.71</v>
      </c>
      <c r="H1149">
        <v>1425</v>
      </c>
      <c r="I1149">
        <v>23.03</v>
      </c>
      <c r="J1149">
        <v>32823.71</v>
      </c>
    </row>
    <row r="1150" spans="1:10" hidden="1" x14ac:dyDescent="0.25">
      <c r="A1150" t="s">
        <v>426</v>
      </c>
      <c r="B1150" t="s">
        <v>88</v>
      </c>
      <c r="C1150" s="1">
        <v>45979</v>
      </c>
      <c r="D1150" t="s">
        <v>1281</v>
      </c>
      <c r="E1150" t="s">
        <v>136</v>
      </c>
      <c r="F1150" t="s">
        <v>8</v>
      </c>
      <c r="G1150" s="14">
        <v>91316.6</v>
      </c>
      <c r="H1150">
        <v>1425</v>
      </c>
      <c r="I1150">
        <v>64.08</v>
      </c>
      <c r="J1150">
        <v>110493.09</v>
      </c>
    </row>
    <row r="1151" spans="1:10" hidden="1" x14ac:dyDescent="0.25">
      <c r="A1151" t="s">
        <v>246</v>
      </c>
      <c r="B1151" t="s">
        <v>88</v>
      </c>
      <c r="C1151" s="1">
        <v>45975</v>
      </c>
      <c r="D1151" t="s">
        <v>1082</v>
      </c>
      <c r="E1151" t="s">
        <v>114</v>
      </c>
      <c r="F1151" t="s">
        <v>117</v>
      </c>
      <c r="G1151" s="14">
        <v>10399.84</v>
      </c>
      <c r="H1151">
        <v>1425</v>
      </c>
      <c r="I1151">
        <v>7.3</v>
      </c>
      <c r="J1151">
        <v>12583.8</v>
      </c>
    </row>
    <row r="1152" spans="1:10" hidden="1" x14ac:dyDescent="0.25">
      <c r="A1152" t="s">
        <v>393</v>
      </c>
      <c r="B1152" t="s">
        <v>88</v>
      </c>
      <c r="C1152" s="1">
        <v>45975</v>
      </c>
      <c r="D1152" t="s">
        <v>1203</v>
      </c>
      <c r="E1152" t="s">
        <v>205</v>
      </c>
      <c r="F1152" t="s">
        <v>206</v>
      </c>
      <c r="G1152" s="14">
        <v>47978</v>
      </c>
      <c r="H1152">
        <v>1425</v>
      </c>
      <c r="I1152">
        <v>33.67</v>
      </c>
      <c r="J1152">
        <v>58053.38</v>
      </c>
    </row>
    <row r="1153" spans="1:10" hidden="1" x14ac:dyDescent="0.25">
      <c r="A1153" t="s">
        <v>504</v>
      </c>
      <c r="B1153" t="s">
        <v>88</v>
      </c>
      <c r="C1153" s="1">
        <v>45975</v>
      </c>
      <c r="D1153" t="s">
        <v>1428</v>
      </c>
      <c r="E1153" t="s">
        <v>506</v>
      </c>
      <c r="F1153" t="s">
        <v>109</v>
      </c>
      <c r="G1153" s="14">
        <v>210204</v>
      </c>
      <c r="H1153">
        <v>1425</v>
      </c>
      <c r="I1153">
        <v>147.51</v>
      </c>
      <c r="J1153">
        <v>266959.08</v>
      </c>
    </row>
    <row r="1154" spans="1:10" hidden="1" x14ac:dyDescent="0.25">
      <c r="A1154" t="s">
        <v>504</v>
      </c>
      <c r="B1154" t="s">
        <v>88</v>
      </c>
      <c r="C1154" s="1">
        <v>45975</v>
      </c>
      <c r="D1154" t="s">
        <v>1428</v>
      </c>
      <c r="E1154" t="s">
        <v>507</v>
      </c>
      <c r="F1154" t="s">
        <v>109</v>
      </c>
      <c r="G1154" s="14">
        <v>11063.25</v>
      </c>
      <c r="H1154">
        <v>1425</v>
      </c>
      <c r="I1154">
        <v>7.76</v>
      </c>
      <c r="J1154">
        <v>11063.25</v>
      </c>
    </row>
    <row r="1155" spans="1:10" hidden="1" x14ac:dyDescent="0.25">
      <c r="A1155" t="s">
        <v>1263</v>
      </c>
      <c r="B1155" t="s">
        <v>88</v>
      </c>
      <c r="C1155" s="1">
        <v>45974</v>
      </c>
      <c r="D1155" t="s">
        <v>1265</v>
      </c>
      <c r="E1155" t="s">
        <v>102</v>
      </c>
      <c r="F1155" t="s">
        <v>8</v>
      </c>
      <c r="G1155" s="14">
        <v>37690</v>
      </c>
      <c r="H1155">
        <v>1430</v>
      </c>
      <c r="I1155">
        <v>26.36</v>
      </c>
      <c r="J1155">
        <v>37690</v>
      </c>
    </row>
    <row r="1156" spans="1:10" hidden="1" x14ac:dyDescent="0.25">
      <c r="A1156" t="s">
        <v>1352</v>
      </c>
      <c r="B1156" t="s">
        <v>88</v>
      </c>
      <c r="C1156" s="1">
        <v>45973</v>
      </c>
      <c r="D1156" t="s">
        <v>1353</v>
      </c>
      <c r="E1156" t="s">
        <v>731</v>
      </c>
      <c r="F1156" t="s">
        <v>1111</v>
      </c>
      <c r="G1156" s="14">
        <v>194439.52</v>
      </c>
      <c r="H1156">
        <v>1435</v>
      </c>
      <c r="I1156">
        <v>135.5</v>
      </c>
      <c r="J1156">
        <v>235271.82</v>
      </c>
    </row>
    <row r="1157" spans="1:10" hidden="1" x14ac:dyDescent="0.25">
      <c r="A1157" t="s">
        <v>1352</v>
      </c>
      <c r="B1157" t="s">
        <v>88</v>
      </c>
      <c r="C1157" s="1">
        <v>45973</v>
      </c>
      <c r="D1157" t="s">
        <v>1354</v>
      </c>
      <c r="E1157" t="s">
        <v>731</v>
      </c>
      <c r="F1157" t="s">
        <v>1111</v>
      </c>
      <c r="G1157" s="14">
        <v>146446.26</v>
      </c>
      <c r="H1157">
        <v>1435</v>
      </c>
      <c r="I1157">
        <v>102.05</v>
      </c>
      <c r="J1157">
        <v>177199.97</v>
      </c>
    </row>
    <row r="1158" spans="1:10" hidden="1" x14ac:dyDescent="0.25">
      <c r="A1158" t="s">
        <v>1096</v>
      </c>
      <c r="B1158" t="s">
        <v>88</v>
      </c>
      <c r="C1158" s="1">
        <v>45972</v>
      </c>
      <c r="D1158" t="s">
        <v>1099</v>
      </c>
      <c r="E1158" t="s">
        <v>653</v>
      </c>
      <c r="F1158" t="s">
        <v>23</v>
      </c>
      <c r="G1158" s="14">
        <v>57851.24</v>
      </c>
      <c r="H1158">
        <v>1440</v>
      </c>
      <c r="I1158">
        <v>40.17</v>
      </c>
      <c r="J1158">
        <v>70000</v>
      </c>
    </row>
    <row r="1159" spans="1:10" hidden="1" x14ac:dyDescent="0.25">
      <c r="A1159" t="s">
        <v>400</v>
      </c>
      <c r="B1159" t="s">
        <v>88</v>
      </c>
      <c r="C1159" s="1">
        <v>45971</v>
      </c>
      <c r="D1159" t="s">
        <v>1218</v>
      </c>
      <c r="E1159" t="s">
        <v>184</v>
      </c>
      <c r="F1159" t="s">
        <v>19</v>
      </c>
      <c r="G1159" s="14">
        <v>55567.25</v>
      </c>
      <c r="H1159">
        <v>1445</v>
      </c>
      <c r="I1159">
        <v>38.450000000000003</v>
      </c>
      <c r="J1159">
        <v>67236.37</v>
      </c>
    </row>
    <row r="1160" spans="1:10" hidden="1" x14ac:dyDescent="0.25">
      <c r="A1160" t="s">
        <v>400</v>
      </c>
      <c r="B1160" t="s">
        <v>88</v>
      </c>
      <c r="C1160" s="1">
        <v>45971</v>
      </c>
      <c r="D1160" t="s">
        <v>1218</v>
      </c>
      <c r="E1160" t="s">
        <v>184</v>
      </c>
      <c r="F1160" t="s">
        <v>8</v>
      </c>
      <c r="G1160" s="14">
        <v>9748.64</v>
      </c>
      <c r="H1160">
        <v>1445</v>
      </c>
      <c r="I1160">
        <v>6.75</v>
      </c>
      <c r="J1160">
        <v>11795.85</v>
      </c>
    </row>
    <row r="1161" spans="1:10" hidden="1" x14ac:dyDescent="0.25">
      <c r="A1161" t="s">
        <v>400</v>
      </c>
      <c r="B1161" t="s">
        <v>88</v>
      </c>
      <c r="C1161" s="1">
        <v>45971</v>
      </c>
      <c r="D1161" t="s">
        <v>1218</v>
      </c>
      <c r="E1161" t="s">
        <v>184</v>
      </c>
      <c r="F1161" t="s">
        <v>14</v>
      </c>
      <c r="G1161" s="14">
        <v>32170.51</v>
      </c>
      <c r="H1161">
        <v>1445</v>
      </c>
      <c r="I1161">
        <v>22.26</v>
      </c>
      <c r="J1161">
        <v>38926.32</v>
      </c>
    </row>
    <row r="1162" spans="1:10" hidden="1" x14ac:dyDescent="0.25">
      <c r="A1162" t="s">
        <v>416</v>
      </c>
      <c r="B1162" t="s">
        <v>88</v>
      </c>
      <c r="C1162" s="1">
        <v>45971</v>
      </c>
      <c r="D1162" t="s">
        <v>1245</v>
      </c>
      <c r="E1162" t="s">
        <v>205</v>
      </c>
      <c r="F1162" t="s">
        <v>109</v>
      </c>
      <c r="G1162" s="14">
        <v>38363.629999999997</v>
      </c>
      <c r="H1162">
        <v>1445</v>
      </c>
      <c r="I1162">
        <v>26.55</v>
      </c>
      <c r="J1162">
        <v>46419.99</v>
      </c>
    </row>
    <row r="1163" spans="1:10" hidden="1" x14ac:dyDescent="0.25">
      <c r="A1163" t="s">
        <v>416</v>
      </c>
      <c r="B1163" t="s">
        <v>88</v>
      </c>
      <c r="C1163" s="1">
        <v>45971</v>
      </c>
      <c r="D1163" t="s">
        <v>1245</v>
      </c>
      <c r="E1163" t="s">
        <v>102</v>
      </c>
      <c r="F1163" t="s">
        <v>109</v>
      </c>
      <c r="G1163" s="14">
        <v>1280</v>
      </c>
      <c r="H1163">
        <v>1445</v>
      </c>
      <c r="I1163">
        <v>0.89</v>
      </c>
      <c r="J1163">
        <v>1280</v>
      </c>
    </row>
    <row r="1164" spans="1:10" hidden="1" x14ac:dyDescent="0.25">
      <c r="A1164" t="s">
        <v>525</v>
      </c>
      <c r="B1164" t="s">
        <v>88</v>
      </c>
      <c r="C1164" s="1">
        <v>45971</v>
      </c>
      <c r="D1164" t="s">
        <v>1471</v>
      </c>
      <c r="E1164" t="s">
        <v>108</v>
      </c>
      <c r="F1164" t="s">
        <v>109</v>
      </c>
      <c r="G1164" s="14">
        <v>92000</v>
      </c>
      <c r="H1164">
        <v>1445</v>
      </c>
      <c r="I1164">
        <v>63.67</v>
      </c>
      <c r="J1164">
        <v>92000</v>
      </c>
    </row>
    <row r="1165" spans="1:10" hidden="1" x14ac:dyDescent="0.25">
      <c r="A1165" t="s">
        <v>1096</v>
      </c>
      <c r="B1165" t="s">
        <v>88</v>
      </c>
      <c r="C1165" s="1">
        <v>45968</v>
      </c>
      <c r="D1165" t="s">
        <v>1098</v>
      </c>
      <c r="E1165" t="s">
        <v>653</v>
      </c>
      <c r="F1165" t="s">
        <v>23</v>
      </c>
      <c r="G1165" s="14">
        <v>115702.46</v>
      </c>
      <c r="H1165">
        <v>1445</v>
      </c>
      <c r="I1165">
        <v>80.069999999999993</v>
      </c>
      <c r="J1165">
        <v>139999.98000000001</v>
      </c>
    </row>
    <row r="1166" spans="1:10" hidden="1" x14ac:dyDescent="0.25">
      <c r="A1166" t="s">
        <v>343</v>
      </c>
      <c r="B1166" t="s">
        <v>88</v>
      </c>
      <c r="C1166" s="1">
        <v>45968</v>
      </c>
      <c r="D1166" t="s">
        <v>1164</v>
      </c>
      <c r="E1166" t="s">
        <v>136</v>
      </c>
      <c r="F1166" t="s">
        <v>142</v>
      </c>
      <c r="G1166" s="14">
        <v>15057.02</v>
      </c>
      <c r="H1166">
        <v>1445</v>
      </c>
      <c r="I1166">
        <v>10.42</v>
      </c>
      <c r="J1166">
        <v>18219</v>
      </c>
    </row>
    <row r="1167" spans="1:10" hidden="1" x14ac:dyDescent="0.25">
      <c r="A1167" t="s">
        <v>1251</v>
      </c>
      <c r="B1167" t="s">
        <v>88</v>
      </c>
      <c r="C1167" s="1">
        <v>45968</v>
      </c>
      <c r="D1167" t="s">
        <v>1255</v>
      </c>
      <c r="E1167" t="s">
        <v>136</v>
      </c>
      <c r="F1167" t="s">
        <v>8</v>
      </c>
      <c r="G1167" s="14">
        <v>251340</v>
      </c>
      <c r="H1167">
        <v>1445</v>
      </c>
      <c r="I1167">
        <v>173.94</v>
      </c>
      <c r="J1167">
        <v>304115.5</v>
      </c>
    </row>
    <row r="1168" spans="1:10" hidden="1" x14ac:dyDescent="0.25">
      <c r="A1168" t="s">
        <v>161</v>
      </c>
      <c r="B1168" t="s">
        <v>88</v>
      </c>
      <c r="C1168" s="1">
        <v>45967</v>
      </c>
      <c r="D1168" t="s">
        <v>1003</v>
      </c>
      <c r="E1168" t="s">
        <v>136</v>
      </c>
      <c r="F1168" t="s">
        <v>6</v>
      </c>
      <c r="G1168" s="14">
        <v>477782</v>
      </c>
      <c r="H1168">
        <v>1475</v>
      </c>
      <c r="I1168">
        <v>323.92</v>
      </c>
      <c r="J1168">
        <v>578126.25</v>
      </c>
    </row>
    <row r="1169" spans="1:10" hidden="1" x14ac:dyDescent="0.25">
      <c r="A1169" t="s">
        <v>161</v>
      </c>
      <c r="B1169" t="s">
        <v>88</v>
      </c>
      <c r="C1169" s="1">
        <v>45967</v>
      </c>
      <c r="D1169" t="s">
        <v>1004</v>
      </c>
      <c r="E1169" t="s">
        <v>136</v>
      </c>
      <c r="F1169" t="s">
        <v>6</v>
      </c>
      <c r="G1169" s="14">
        <v>98987.25</v>
      </c>
      <c r="H1169">
        <v>1475</v>
      </c>
      <c r="I1169">
        <v>67.11</v>
      </c>
      <c r="J1169">
        <v>119770</v>
      </c>
    </row>
    <row r="1170" spans="1:10" hidden="1" x14ac:dyDescent="0.25">
      <c r="A1170" t="s">
        <v>161</v>
      </c>
      <c r="B1170" t="s">
        <v>88</v>
      </c>
      <c r="C1170" s="1">
        <v>45967</v>
      </c>
      <c r="D1170" t="s">
        <v>1005</v>
      </c>
      <c r="E1170" t="s">
        <v>136</v>
      </c>
      <c r="F1170" t="s">
        <v>14</v>
      </c>
      <c r="G1170" s="14">
        <v>222872.5</v>
      </c>
      <c r="H1170">
        <v>1475</v>
      </c>
      <c r="I1170">
        <v>151.1</v>
      </c>
      <c r="J1170">
        <v>269674.25</v>
      </c>
    </row>
    <row r="1171" spans="1:10" hidden="1" x14ac:dyDescent="0.25">
      <c r="A1171" t="s">
        <v>246</v>
      </c>
      <c r="B1171" t="s">
        <v>88</v>
      </c>
      <c r="C1171" s="1">
        <v>45967</v>
      </c>
      <c r="D1171" t="s">
        <v>1072</v>
      </c>
      <c r="E1171" t="s">
        <v>114</v>
      </c>
      <c r="F1171" t="s">
        <v>117</v>
      </c>
      <c r="G1171" s="14">
        <v>3951.93</v>
      </c>
      <c r="H1171">
        <v>1475</v>
      </c>
      <c r="I1171">
        <v>2.68</v>
      </c>
      <c r="J1171">
        <v>4781.84</v>
      </c>
    </row>
    <row r="1172" spans="1:10" hidden="1" x14ac:dyDescent="0.25">
      <c r="A1172" t="s">
        <v>473</v>
      </c>
      <c r="B1172" t="s">
        <v>88</v>
      </c>
      <c r="C1172" s="1">
        <v>45967</v>
      </c>
      <c r="D1172" t="s">
        <v>1348</v>
      </c>
      <c r="E1172" t="s">
        <v>152</v>
      </c>
      <c r="F1172" t="s">
        <v>475</v>
      </c>
      <c r="G1172" s="14">
        <v>2275468.9</v>
      </c>
      <c r="H1172">
        <v>1475</v>
      </c>
      <c r="I1172">
        <v>1542.69</v>
      </c>
      <c r="J1172">
        <v>2753317.37</v>
      </c>
    </row>
    <row r="1173" spans="1:10" hidden="1" x14ac:dyDescent="0.25">
      <c r="A1173" t="s">
        <v>473</v>
      </c>
      <c r="B1173" t="s">
        <v>88</v>
      </c>
      <c r="C1173" s="1">
        <v>45967</v>
      </c>
      <c r="D1173" t="s">
        <v>1348</v>
      </c>
      <c r="E1173" t="s">
        <v>153</v>
      </c>
      <c r="F1173" t="s">
        <v>475</v>
      </c>
      <c r="G1173" s="14">
        <v>83700.75</v>
      </c>
      <c r="H1173">
        <v>1475</v>
      </c>
      <c r="I1173">
        <v>56.75</v>
      </c>
      <c r="J1173">
        <v>83700.75</v>
      </c>
    </row>
    <row r="1174" spans="1:10" hidden="1" x14ac:dyDescent="0.25">
      <c r="A1174" t="s">
        <v>501</v>
      </c>
      <c r="B1174" t="s">
        <v>88</v>
      </c>
      <c r="C1174" s="1">
        <v>45967</v>
      </c>
      <c r="D1174" t="s">
        <v>1407</v>
      </c>
      <c r="E1174" t="s">
        <v>205</v>
      </c>
      <c r="F1174" t="s">
        <v>109</v>
      </c>
      <c r="G1174" s="14">
        <v>218287.2</v>
      </c>
      <c r="H1174">
        <v>1475</v>
      </c>
      <c r="I1174">
        <v>147.99</v>
      </c>
      <c r="J1174">
        <v>264127.51</v>
      </c>
    </row>
    <row r="1175" spans="1:10" hidden="1" x14ac:dyDescent="0.25">
      <c r="A1175" t="s">
        <v>175</v>
      </c>
      <c r="B1175" t="s">
        <v>88</v>
      </c>
      <c r="C1175" s="1">
        <v>45966</v>
      </c>
      <c r="D1175" t="s">
        <v>1024</v>
      </c>
      <c r="E1175" t="s">
        <v>177</v>
      </c>
      <c r="F1175" t="s">
        <v>109</v>
      </c>
      <c r="G1175" s="14">
        <v>22170.66</v>
      </c>
      <c r="H1175">
        <v>1475</v>
      </c>
      <c r="I1175">
        <v>15.03</v>
      </c>
      <c r="J1175">
        <v>28156.74</v>
      </c>
    </row>
    <row r="1176" spans="1:10" hidden="1" x14ac:dyDescent="0.25">
      <c r="A1176" t="s">
        <v>175</v>
      </c>
      <c r="B1176" t="s">
        <v>88</v>
      </c>
      <c r="C1176" s="1">
        <v>45966</v>
      </c>
      <c r="D1176" t="s">
        <v>1024</v>
      </c>
      <c r="E1176" t="s">
        <v>180</v>
      </c>
      <c r="F1176" t="s">
        <v>109</v>
      </c>
      <c r="G1176" s="14">
        <v>907.63</v>
      </c>
      <c r="H1176">
        <v>1475</v>
      </c>
      <c r="I1176">
        <v>0.62</v>
      </c>
      <c r="J1176">
        <v>907.63</v>
      </c>
    </row>
    <row r="1177" spans="1:10" hidden="1" x14ac:dyDescent="0.25">
      <c r="A1177" t="s">
        <v>1204</v>
      </c>
      <c r="B1177" t="s">
        <v>88</v>
      </c>
      <c r="C1177" s="1">
        <v>45966</v>
      </c>
      <c r="D1177" t="s">
        <v>1205</v>
      </c>
      <c r="E1177" t="s">
        <v>218</v>
      </c>
      <c r="F1177" t="s">
        <v>117</v>
      </c>
      <c r="G1177" s="14">
        <v>5371.9</v>
      </c>
      <c r="H1177">
        <v>1475</v>
      </c>
      <c r="I1177">
        <v>3.64</v>
      </c>
      <c r="J1177">
        <v>6500</v>
      </c>
    </row>
    <row r="1178" spans="1:10" hidden="1" x14ac:dyDescent="0.25">
      <c r="A1178" t="s">
        <v>1204</v>
      </c>
      <c r="B1178" t="s">
        <v>88</v>
      </c>
      <c r="C1178" s="1">
        <v>45966</v>
      </c>
      <c r="D1178" t="s">
        <v>1206</v>
      </c>
      <c r="E1178" t="s">
        <v>218</v>
      </c>
      <c r="F1178" t="s">
        <v>117</v>
      </c>
      <c r="G1178" s="14">
        <v>14756.71</v>
      </c>
      <c r="H1178">
        <v>1475</v>
      </c>
      <c r="I1178">
        <v>10</v>
      </c>
      <c r="J1178">
        <v>17855.62</v>
      </c>
    </row>
    <row r="1179" spans="1:10" hidden="1" x14ac:dyDescent="0.25">
      <c r="A1179" t="s">
        <v>1204</v>
      </c>
      <c r="B1179" t="s">
        <v>88</v>
      </c>
      <c r="C1179" s="1">
        <v>45966</v>
      </c>
      <c r="D1179" t="s">
        <v>1206</v>
      </c>
      <c r="E1179" t="s">
        <v>1207</v>
      </c>
      <c r="F1179" t="s">
        <v>117</v>
      </c>
      <c r="G1179" s="14">
        <v>64.38</v>
      </c>
      <c r="H1179">
        <v>1475</v>
      </c>
      <c r="I1179">
        <v>0.04</v>
      </c>
      <c r="J1179">
        <v>64.38</v>
      </c>
    </row>
    <row r="1180" spans="1:10" hidden="1" x14ac:dyDescent="0.25">
      <c r="A1180" t="s">
        <v>1251</v>
      </c>
      <c r="B1180" t="s">
        <v>88</v>
      </c>
      <c r="C1180" s="1">
        <v>45966</v>
      </c>
      <c r="D1180" t="s">
        <v>1254</v>
      </c>
      <c r="E1180" t="s">
        <v>136</v>
      </c>
      <c r="F1180" t="s">
        <v>8</v>
      </c>
      <c r="G1180" s="14">
        <v>299331.45</v>
      </c>
      <c r="H1180">
        <v>1475</v>
      </c>
      <c r="I1180">
        <v>202.94</v>
      </c>
      <c r="J1180">
        <v>362191.5</v>
      </c>
    </row>
    <row r="1181" spans="1:10" hidden="1" x14ac:dyDescent="0.25">
      <c r="A1181" t="s">
        <v>443</v>
      </c>
      <c r="B1181" t="s">
        <v>88</v>
      </c>
      <c r="C1181" s="1">
        <v>45966</v>
      </c>
      <c r="D1181" t="s">
        <v>1309</v>
      </c>
      <c r="E1181" t="s">
        <v>90</v>
      </c>
      <c r="F1181" t="s">
        <v>91</v>
      </c>
      <c r="G1181" s="14">
        <v>57675.79</v>
      </c>
      <c r="H1181">
        <v>1475</v>
      </c>
      <c r="I1181">
        <v>39.1</v>
      </c>
      <c r="J1181">
        <v>69787.72</v>
      </c>
    </row>
    <row r="1182" spans="1:10" hidden="1" x14ac:dyDescent="0.25">
      <c r="A1182" t="s">
        <v>443</v>
      </c>
      <c r="B1182" t="s">
        <v>88</v>
      </c>
      <c r="C1182" s="1">
        <v>45966</v>
      </c>
      <c r="D1182" t="s">
        <v>1309</v>
      </c>
      <c r="E1182" t="s">
        <v>92</v>
      </c>
      <c r="F1182" t="s">
        <v>91</v>
      </c>
      <c r="G1182" s="14">
        <v>12220.29</v>
      </c>
      <c r="H1182">
        <v>1475</v>
      </c>
      <c r="I1182">
        <v>8.2799999999999994</v>
      </c>
      <c r="J1182">
        <v>12220.29</v>
      </c>
    </row>
    <row r="1183" spans="1:10" hidden="1" x14ac:dyDescent="0.25">
      <c r="A1183" t="s">
        <v>226</v>
      </c>
      <c r="B1183" t="s">
        <v>88</v>
      </c>
      <c r="C1183" s="1">
        <v>45965</v>
      </c>
      <c r="D1183" t="s">
        <v>1062</v>
      </c>
      <c r="E1183" t="s">
        <v>232</v>
      </c>
      <c r="F1183" t="s">
        <v>109</v>
      </c>
      <c r="G1183" s="14">
        <v>11637.44</v>
      </c>
      <c r="H1183">
        <v>1485</v>
      </c>
      <c r="I1183">
        <v>7.84</v>
      </c>
      <c r="J1183">
        <v>14779.55</v>
      </c>
    </row>
    <row r="1184" spans="1:10" hidden="1" x14ac:dyDescent="0.25">
      <c r="A1184" t="s">
        <v>226</v>
      </c>
      <c r="B1184" t="s">
        <v>88</v>
      </c>
      <c r="C1184" s="1">
        <v>45965</v>
      </c>
      <c r="D1184" t="s">
        <v>1062</v>
      </c>
      <c r="E1184" t="s">
        <v>233</v>
      </c>
      <c r="F1184" t="s">
        <v>109</v>
      </c>
      <c r="G1184" s="14">
        <v>663.76</v>
      </c>
      <c r="H1184">
        <v>1485</v>
      </c>
      <c r="I1184">
        <v>0.45</v>
      </c>
      <c r="J1184">
        <v>663.76</v>
      </c>
    </row>
    <row r="1185" spans="1:10" hidden="1" x14ac:dyDescent="0.25">
      <c r="A1185" t="s">
        <v>226</v>
      </c>
      <c r="B1185" t="s">
        <v>88</v>
      </c>
      <c r="C1185" s="1">
        <v>45965</v>
      </c>
      <c r="D1185" t="s">
        <v>1063</v>
      </c>
      <c r="E1185" t="s">
        <v>232</v>
      </c>
      <c r="F1185" t="s">
        <v>109</v>
      </c>
      <c r="G1185" s="14">
        <v>11637.44</v>
      </c>
      <c r="H1185">
        <v>1485</v>
      </c>
      <c r="I1185">
        <v>7.84</v>
      </c>
      <c r="J1185">
        <v>14779.55</v>
      </c>
    </row>
    <row r="1186" spans="1:10" hidden="1" x14ac:dyDescent="0.25">
      <c r="A1186" t="s">
        <v>226</v>
      </c>
      <c r="B1186" t="s">
        <v>88</v>
      </c>
      <c r="C1186" s="1">
        <v>45965</v>
      </c>
      <c r="D1186" t="s">
        <v>1063</v>
      </c>
      <c r="E1186" t="s">
        <v>233</v>
      </c>
      <c r="F1186" t="s">
        <v>109</v>
      </c>
      <c r="G1186" s="14">
        <v>663.76</v>
      </c>
      <c r="H1186">
        <v>1485</v>
      </c>
      <c r="I1186">
        <v>0.45</v>
      </c>
      <c r="J1186">
        <v>663.76</v>
      </c>
    </row>
    <row r="1187" spans="1:10" hidden="1" x14ac:dyDescent="0.25">
      <c r="A1187" t="s">
        <v>364</v>
      </c>
      <c r="B1187" t="s">
        <v>88</v>
      </c>
      <c r="C1187" s="1">
        <v>45965</v>
      </c>
      <c r="D1187" t="s">
        <v>1184</v>
      </c>
      <c r="E1187" t="s">
        <v>102</v>
      </c>
      <c r="F1187" t="s">
        <v>109</v>
      </c>
      <c r="G1187" s="14">
        <v>15000</v>
      </c>
      <c r="H1187">
        <v>1485</v>
      </c>
      <c r="I1187">
        <v>10.1</v>
      </c>
      <c r="J1187">
        <v>15000</v>
      </c>
    </row>
    <row r="1188" spans="1:10" hidden="1" x14ac:dyDescent="0.25">
      <c r="A1188" t="s">
        <v>372</v>
      </c>
      <c r="B1188" t="s">
        <v>88</v>
      </c>
      <c r="C1188" s="1">
        <v>45965</v>
      </c>
      <c r="D1188" t="s">
        <v>1190</v>
      </c>
      <c r="E1188" t="s">
        <v>136</v>
      </c>
      <c r="F1188" t="s">
        <v>6</v>
      </c>
      <c r="G1188" s="14">
        <v>397101.9</v>
      </c>
      <c r="H1188">
        <v>1485</v>
      </c>
      <c r="I1188">
        <v>267.41000000000003</v>
      </c>
      <c r="J1188">
        <v>480494.04</v>
      </c>
    </row>
    <row r="1189" spans="1:10" hidden="1" x14ac:dyDescent="0.25">
      <c r="A1189" t="s">
        <v>106</v>
      </c>
      <c r="B1189" t="s">
        <v>88</v>
      </c>
      <c r="C1189" s="1">
        <v>45964</v>
      </c>
      <c r="D1189" t="s">
        <v>953</v>
      </c>
      <c r="E1189" t="s">
        <v>102</v>
      </c>
      <c r="F1189" t="s">
        <v>109</v>
      </c>
      <c r="G1189" s="14">
        <v>54556</v>
      </c>
      <c r="H1189">
        <v>1500</v>
      </c>
      <c r="I1189">
        <v>36.369999999999997</v>
      </c>
      <c r="J1189">
        <v>54556</v>
      </c>
    </row>
    <row r="1190" spans="1:10" hidden="1" x14ac:dyDescent="0.25">
      <c r="A1190" t="s">
        <v>383</v>
      </c>
      <c r="B1190" t="s">
        <v>88</v>
      </c>
      <c r="C1190" s="1">
        <v>45964</v>
      </c>
      <c r="D1190" t="s">
        <v>1201</v>
      </c>
      <c r="E1190" t="s">
        <v>136</v>
      </c>
      <c r="F1190" t="s">
        <v>135</v>
      </c>
      <c r="G1190" s="14">
        <v>321852.31</v>
      </c>
      <c r="H1190">
        <v>1500</v>
      </c>
      <c r="I1190">
        <v>214.57</v>
      </c>
      <c r="J1190">
        <v>389441.3</v>
      </c>
    </row>
    <row r="1191" spans="1:10" hidden="1" x14ac:dyDescent="0.25">
      <c r="A1191" t="s">
        <v>438</v>
      </c>
      <c r="B1191" t="s">
        <v>88</v>
      </c>
      <c r="C1191" s="1">
        <v>45964</v>
      </c>
      <c r="D1191" t="s">
        <v>1302</v>
      </c>
      <c r="E1191" t="s">
        <v>440</v>
      </c>
      <c r="F1191" t="s">
        <v>109</v>
      </c>
      <c r="G1191" s="14">
        <v>144000</v>
      </c>
      <c r="H1191">
        <v>1500</v>
      </c>
      <c r="I1191">
        <v>96</v>
      </c>
      <c r="J1191">
        <v>144000</v>
      </c>
    </row>
    <row r="1192" spans="1:10" hidden="1" x14ac:dyDescent="0.25">
      <c r="A1192" t="s">
        <v>504</v>
      </c>
      <c r="B1192" t="s">
        <v>88</v>
      </c>
      <c r="C1192" s="1">
        <v>45964</v>
      </c>
      <c r="D1192" t="s">
        <v>1422</v>
      </c>
      <c r="E1192" t="s">
        <v>422</v>
      </c>
      <c r="F1192" t="s">
        <v>109</v>
      </c>
      <c r="G1192" s="14">
        <v>50539</v>
      </c>
      <c r="H1192">
        <v>1500</v>
      </c>
      <c r="I1192">
        <v>33.69</v>
      </c>
      <c r="J1192">
        <v>61152.19</v>
      </c>
    </row>
    <row r="1193" spans="1:10" hidden="1" x14ac:dyDescent="0.25">
      <c r="A1193" t="s">
        <v>1436</v>
      </c>
      <c r="B1193" t="s">
        <v>88</v>
      </c>
      <c r="C1193" s="1">
        <v>45964</v>
      </c>
      <c r="D1193" t="s">
        <v>1437</v>
      </c>
      <c r="E1193" t="s">
        <v>90</v>
      </c>
      <c r="F1193" t="s">
        <v>91</v>
      </c>
      <c r="G1193" s="14">
        <v>53533.5</v>
      </c>
      <c r="H1193">
        <v>1500</v>
      </c>
      <c r="I1193">
        <v>35.69</v>
      </c>
      <c r="J1193">
        <v>64775.55</v>
      </c>
    </row>
    <row r="1194" spans="1:10" hidden="1" x14ac:dyDescent="0.25">
      <c r="A1194" t="s">
        <v>1436</v>
      </c>
      <c r="B1194" t="s">
        <v>88</v>
      </c>
      <c r="C1194" s="1">
        <v>45964</v>
      </c>
      <c r="D1194" t="s">
        <v>1437</v>
      </c>
      <c r="E1194" t="s">
        <v>92</v>
      </c>
      <c r="F1194" t="s">
        <v>91</v>
      </c>
      <c r="G1194" s="14">
        <v>8629.42</v>
      </c>
      <c r="H1194">
        <v>1500</v>
      </c>
      <c r="I1194">
        <v>5.75</v>
      </c>
      <c r="J1194">
        <v>8629.42</v>
      </c>
    </row>
    <row r="1195" spans="1:10" hidden="1" x14ac:dyDescent="0.25">
      <c r="A1195" t="s">
        <v>515</v>
      </c>
      <c r="B1195" t="s">
        <v>88</v>
      </c>
      <c r="C1195" s="1">
        <v>45964</v>
      </c>
      <c r="D1195" t="s">
        <v>1448</v>
      </c>
      <c r="E1195" t="s">
        <v>184</v>
      </c>
      <c r="F1195" t="s">
        <v>8</v>
      </c>
      <c r="G1195" s="14">
        <v>28233</v>
      </c>
      <c r="H1195">
        <v>1500</v>
      </c>
      <c r="I1195">
        <v>18.82</v>
      </c>
      <c r="J1195">
        <v>34161.93</v>
      </c>
    </row>
    <row r="1196" spans="1:10" hidden="1" x14ac:dyDescent="0.25">
      <c r="A1196" t="s">
        <v>443</v>
      </c>
      <c r="B1196" t="s">
        <v>88</v>
      </c>
      <c r="C1196" s="1">
        <v>45963</v>
      </c>
      <c r="D1196" t="s">
        <v>1306</v>
      </c>
      <c r="E1196" t="s">
        <v>90</v>
      </c>
      <c r="F1196" t="s">
        <v>91</v>
      </c>
      <c r="G1196" s="14">
        <v>10837.69</v>
      </c>
      <c r="H1196">
        <v>1475</v>
      </c>
      <c r="I1196">
        <v>7.35</v>
      </c>
      <c r="J1196">
        <v>13113.61</v>
      </c>
    </row>
    <row r="1197" spans="1:10" hidden="1" x14ac:dyDescent="0.25">
      <c r="A1197" t="s">
        <v>443</v>
      </c>
      <c r="B1197" t="s">
        <v>88</v>
      </c>
      <c r="C1197" s="1">
        <v>45963</v>
      </c>
      <c r="D1197" t="s">
        <v>1306</v>
      </c>
      <c r="E1197" t="s">
        <v>92</v>
      </c>
      <c r="F1197" t="s">
        <v>91</v>
      </c>
      <c r="G1197" s="14">
        <v>2193.38</v>
      </c>
      <c r="H1197">
        <v>1475</v>
      </c>
      <c r="I1197">
        <v>1.49</v>
      </c>
      <c r="J1197">
        <v>2193.38</v>
      </c>
    </row>
    <row r="1198" spans="1:10" hidden="1" x14ac:dyDescent="0.25">
      <c r="A1198" t="s">
        <v>95</v>
      </c>
      <c r="B1198" t="s">
        <v>96</v>
      </c>
      <c r="C1198" s="1">
        <v>45962</v>
      </c>
      <c r="D1198" t="s">
        <v>948</v>
      </c>
      <c r="E1198" t="s">
        <v>98</v>
      </c>
      <c r="F1198" t="s">
        <v>99</v>
      </c>
      <c r="G1198" s="14">
        <v>27133.9</v>
      </c>
      <c r="H1198">
        <v>1475</v>
      </c>
      <c r="I1198">
        <v>18.399999999999999</v>
      </c>
      <c r="J1198">
        <v>27133.9</v>
      </c>
    </row>
    <row r="1199" spans="1:10" hidden="1" x14ac:dyDescent="0.25">
      <c r="A1199" t="s">
        <v>265</v>
      </c>
      <c r="B1199" t="s">
        <v>88</v>
      </c>
      <c r="C1199" s="1">
        <v>45962</v>
      </c>
      <c r="D1199" t="s">
        <v>1105</v>
      </c>
      <c r="E1199" t="s">
        <v>267</v>
      </c>
      <c r="F1199" t="s">
        <v>109</v>
      </c>
      <c r="G1199" s="14">
        <v>93600</v>
      </c>
      <c r="H1199">
        <v>1475</v>
      </c>
      <c r="I1199">
        <v>63.46</v>
      </c>
      <c r="J1199">
        <v>113256</v>
      </c>
    </row>
    <row r="1200" spans="1:10" hidden="1" x14ac:dyDescent="0.25">
      <c r="A1200" t="s">
        <v>275</v>
      </c>
      <c r="B1200" t="s">
        <v>88</v>
      </c>
      <c r="C1200" s="1">
        <v>45962</v>
      </c>
      <c r="D1200" t="s">
        <v>1115</v>
      </c>
      <c r="E1200" t="s">
        <v>90</v>
      </c>
      <c r="F1200" t="s">
        <v>91</v>
      </c>
      <c r="G1200" s="14">
        <v>744861.13</v>
      </c>
      <c r="H1200">
        <v>1475</v>
      </c>
      <c r="I1200">
        <v>504.99</v>
      </c>
      <c r="J1200">
        <v>901281.98</v>
      </c>
    </row>
    <row r="1201" spans="1:10" hidden="1" x14ac:dyDescent="0.25">
      <c r="A1201" t="s">
        <v>275</v>
      </c>
      <c r="B1201" t="s">
        <v>88</v>
      </c>
      <c r="C1201" s="1">
        <v>45962</v>
      </c>
      <c r="D1201" t="s">
        <v>1115</v>
      </c>
      <c r="E1201" t="s">
        <v>92</v>
      </c>
      <c r="F1201" t="s">
        <v>91</v>
      </c>
      <c r="G1201" s="14">
        <v>131542.01</v>
      </c>
      <c r="H1201">
        <v>1475</v>
      </c>
      <c r="I1201">
        <v>89.18</v>
      </c>
      <c r="J1201">
        <v>131542.01</v>
      </c>
    </row>
    <row r="1202" spans="1:10" hidden="1" x14ac:dyDescent="0.25">
      <c r="A1202" t="s">
        <v>478</v>
      </c>
      <c r="B1202" t="s">
        <v>88</v>
      </c>
      <c r="C1202" s="1">
        <v>45962</v>
      </c>
      <c r="D1202" t="s">
        <v>1360</v>
      </c>
      <c r="E1202" t="s">
        <v>267</v>
      </c>
      <c r="F1202" t="s">
        <v>109</v>
      </c>
      <c r="G1202" s="14">
        <v>18194.21</v>
      </c>
      <c r="H1202">
        <v>1475</v>
      </c>
      <c r="I1202">
        <v>12.34</v>
      </c>
      <c r="J1202">
        <v>22015</v>
      </c>
    </row>
    <row r="1203" spans="1:10" x14ac:dyDescent="0.25">
      <c r="A1203" t="s">
        <v>466</v>
      </c>
      <c r="B1203" t="s">
        <v>88</v>
      </c>
      <c r="C1203" s="1">
        <v>46036</v>
      </c>
      <c r="D1203" t="s">
        <v>1712</v>
      </c>
      <c r="E1203" t="s">
        <v>136</v>
      </c>
      <c r="F1203" t="s">
        <v>31</v>
      </c>
      <c r="G1203" s="14">
        <v>22058994.57</v>
      </c>
      <c r="H1203">
        <v>1480</v>
      </c>
      <c r="I1203">
        <v>14904.73</v>
      </c>
      <c r="J1203">
        <v>26691380.370000001</v>
      </c>
    </row>
    <row r="1204" spans="1:10" x14ac:dyDescent="0.25">
      <c r="A1204" t="s">
        <v>466</v>
      </c>
      <c r="B1204" t="s">
        <v>88</v>
      </c>
      <c r="C1204" s="1">
        <v>46036</v>
      </c>
      <c r="D1204" t="s">
        <v>1713</v>
      </c>
      <c r="E1204" t="s">
        <v>136</v>
      </c>
      <c r="F1204" t="s">
        <v>31</v>
      </c>
      <c r="G1204" s="14">
        <v>1053309.01</v>
      </c>
      <c r="H1204">
        <v>1480</v>
      </c>
      <c r="I1204">
        <v>711.7</v>
      </c>
      <c r="J1204">
        <v>1274510.75</v>
      </c>
    </row>
    <row r="1205" spans="1:10" x14ac:dyDescent="0.25">
      <c r="A1205" t="s">
        <v>504</v>
      </c>
      <c r="B1205" t="s">
        <v>88</v>
      </c>
      <c r="C1205" s="1">
        <v>46036</v>
      </c>
      <c r="D1205" t="s">
        <v>1757</v>
      </c>
      <c r="E1205" t="s">
        <v>506</v>
      </c>
      <c r="F1205" t="s">
        <v>109</v>
      </c>
      <c r="G1205" s="14">
        <v>228843.78</v>
      </c>
      <c r="H1205">
        <v>1480</v>
      </c>
      <c r="I1205">
        <v>154.62</v>
      </c>
      <c r="J1205">
        <v>290631.59999999998</v>
      </c>
    </row>
    <row r="1206" spans="1:10" x14ac:dyDescent="0.25">
      <c r="A1206" t="s">
        <v>504</v>
      </c>
      <c r="B1206" t="s">
        <v>88</v>
      </c>
      <c r="C1206" s="1">
        <v>46036</v>
      </c>
      <c r="D1206" t="s">
        <v>1757</v>
      </c>
      <c r="E1206" t="s">
        <v>507</v>
      </c>
      <c r="F1206" t="s">
        <v>109</v>
      </c>
      <c r="G1206" s="14">
        <v>12044.28</v>
      </c>
      <c r="H1206">
        <v>1480</v>
      </c>
      <c r="I1206">
        <v>8.14</v>
      </c>
      <c r="J1206">
        <v>12044.28</v>
      </c>
    </row>
    <row r="1207" spans="1:10" x14ac:dyDescent="0.25">
      <c r="A1207" t="s">
        <v>515</v>
      </c>
      <c r="B1207" t="s">
        <v>88</v>
      </c>
      <c r="C1207" s="1">
        <v>46036</v>
      </c>
      <c r="D1207" t="s">
        <v>1771</v>
      </c>
      <c r="E1207" t="s">
        <v>184</v>
      </c>
      <c r="F1207" t="s">
        <v>855</v>
      </c>
      <c r="G1207" s="14">
        <v>27950</v>
      </c>
      <c r="H1207">
        <v>1480</v>
      </c>
      <c r="I1207">
        <v>18.89</v>
      </c>
      <c r="J1207">
        <v>33819.5</v>
      </c>
    </row>
    <row r="1208" spans="1:10" x14ac:dyDescent="0.25">
      <c r="A1208" t="s">
        <v>552</v>
      </c>
      <c r="B1208" t="s">
        <v>88</v>
      </c>
      <c r="C1208" s="1">
        <v>46036</v>
      </c>
      <c r="D1208" t="s">
        <v>1786</v>
      </c>
      <c r="E1208" t="s">
        <v>136</v>
      </c>
      <c r="F1208" t="s">
        <v>855</v>
      </c>
      <c r="G1208" s="14">
        <v>189815</v>
      </c>
      <c r="H1208">
        <v>1480</v>
      </c>
      <c r="I1208">
        <v>128.25</v>
      </c>
      <c r="J1208">
        <v>229676.15</v>
      </c>
    </row>
    <row r="1209" spans="1:10" x14ac:dyDescent="0.25">
      <c r="A1209" t="s">
        <v>515</v>
      </c>
      <c r="B1209" t="s">
        <v>88</v>
      </c>
      <c r="C1209" s="1">
        <v>46035</v>
      </c>
      <c r="D1209" t="s">
        <v>1769</v>
      </c>
      <c r="E1209" t="s">
        <v>184</v>
      </c>
      <c r="F1209" t="s">
        <v>855</v>
      </c>
      <c r="G1209" s="14">
        <v>104025</v>
      </c>
      <c r="H1209">
        <v>1485</v>
      </c>
      <c r="I1209">
        <v>70.05</v>
      </c>
      <c r="J1209">
        <v>125870.25</v>
      </c>
    </row>
    <row r="1210" spans="1:10" x14ac:dyDescent="0.25">
      <c r="A1210" t="s">
        <v>400</v>
      </c>
      <c r="B1210" t="s">
        <v>88</v>
      </c>
      <c r="C1210" s="1">
        <v>46034</v>
      </c>
      <c r="D1210" t="s">
        <v>1653</v>
      </c>
      <c r="E1210" t="s">
        <v>184</v>
      </c>
      <c r="F1210" t="s">
        <v>855</v>
      </c>
      <c r="G1210" s="14">
        <v>327003.45</v>
      </c>
      <c r="H1210">
        <v>1490</v>
      </c>
      <c r="I1210">
        <v>219.47</v>
      </c>
      <c r="J1210">
        <v>395674.18</v>
      </c>
    </row>
    <row r="1211" spans="1:10" x14ac:dyDescent="0.25">
      <c r="A1211" t="s">
        <v>400</v>
      </c>
      <c r="B1211" t="s">
        <v>88</v>
      </c>
      <c r="C1211" s="1">
        <v>46034</v>
      </c>
      <c r="D1211" t="s">
        <v>1653</v>
      </c>
      <c r="E1211" t="s">
        <v>184</v>
      </c>
      <c r="F1211" t="s">
        <v>24</v>
      </c>
      <c r="G1211" s="14">
        <v>48088.74</v>
      </c>
      <c r="H1211">
        <v>1490</v>
      </c>
      <c r="I1211">
        <v>32.270000000000003</v>
      </c>
      <c r="J1211">
        <v>58187.38</v>
      </c>
    </row>
    <row r="1212" spans="1:10" x14ac:dyDescent="0.25">
      <c r="A1212" t="s">
        <v>400</v>
      </c>
      <c r="B1212" t="s">
        <v>88</v>
      </c>
      <c r="C1212" s="1">
        <v>46034</v>
      </c>
      <c r="D1212" t="s">
        <v>1653</v>
      </c>
      <c r="E1212" t="s">
        <v>184</v>
      </c>
      <c r="F1212" t="s">
        <v>135</v>
      </c>
      <c r="G1212" s="14">
        <v>9617.75</v>
      </c>
      <c r="H1212">
        <v>1490</v>
      </c>
      <c r="I1212">
        <v>6.45</v>
      </c>
      <c r="J1212">
        <v>11637.47</v>
      </c>
    </row>
    <row r="1213" spans="1:10" x14ac:dyDescent="0.25">
      <c r="A1213" t="s">
        <v>1251</v>
      </c>
      <c r="B1213" t="s">
        <v>88</v>
      </c>
      <c r="C1213" s="1">
        <v>46034</v>
      </c>
      <c r="D1213" t="s">
        <v>1672</v>
      </c>
      <c r="E1213" t="s">
        <v>136</v>
      </c>
      <c r="F1213" t="s">
        <v>855</v>
      </c>
      <c r="G1213" s="14">
        <v>158759.5</v>
      </c>
      <c r="H1213">
        <v>1490</v>
      </c>
      <c r="I1213">
        <v>106.55</v>
      </c>
      <c r="J1213">
        <v>192098.25</v>
      </c>
    </row>
    <row r="1214" spans="1:10" x14ac:dyDescent="0.25">
      <c r="A1214" t="s">
        <v>1734</v>
      </c>
      <c r="B1214" t="s">
        <v>88</v>
      </c>
      <c r="C1214" s="1">
        <v>46034</v>
      </c>
      <c r="D1214" t="s">
        <v>1735</v>
      </c>
      <c r="E1214" t="s">
        <v>136</v>
      </c>
      <c r="F1214" t="s">
        <v>855</v>
      </c>
      <c r="G1214" s="14">
        <v>137190</v>
      </c>
      <c r="H1214">
        <v>1490</v>
      </c>
      <c r="I1214">
        <v>92.07</v>
      </c>
      <c r="J1214">
        <v>165999.9</v>
      </c>
    </row>
    <row r="1215" spans="1:10" x14ac:dyDescent="0.25">
      <c r="A1215" t="s">
        <v>1795</v>
      </c>
      <c r="B1215" t="s">
        <v>88</v>
      </c>
      <c r="C1215" s="1">
        <v>46034</v>
      </c>
      <c r="D1215" t="s">
        <v>1796</v>
      </c>
      <c r="E1215" t="s">
        <v>274</v>
      </c>
      <c r="F1215" t="s">
        <v>271</v>
      </c>
      <c r="G1215" s="14">
        <v>12036</v>
      </c>
      <c r="H1215">
        <v>1490</v>
      </c>
      <c r="I1215">
        <v>8.08</v>
      </c>
      <c r="J1215">
        <v>14563.56</v>
      </c>
    </row>
    <row r="1216" spans="1:10" x14ac:dyDescent="0.25">
      <c r="A1216" t="s">
        <v>287</v>
      </c>
      <c r="B1216" t="s">
        <v>88</v>
      </c>
      <c r="C1216" s="1">
        <v>46033</v>
      </c>
      <c r="D1216" t="s">
        <v>1588</v>
      </c>
      <c r="E1216" t="s">
        <v>136</v>
      </c>
      <c r="F1216" t="s">
        <v>855</v>
      </c>
      <c r="G1216" s="14">
        <v>2804889</v>
      </c>
      <c r="H1216">
        <v>1490</v>
      </c>
      <c r="I1216">
        <v>1882.48</v>
      </c>
      <c r="J1216">
        <v>3393915.69</v>
      </c>
    </row>
    <row r="1217" spans="1:10" x14ac:dyDescent="0.25">
      <c r="A1217" t="s">
        <v>287</v>
      </c>
      <c r="B1217" t="s">
        <v>88</v>
      </c>
      <c r="C1217" s="1">
        <v>46033</v>
      </c>
      <c r="D1217" t="s">
        <v>1588</v>
      </c>
      <c r="E1217" t="s">
        <v>329</v>
      </c>
      <c r="F1217" t="s">
        <v>855</v>
      </c>
      <c r="G1217" s="14">
        <v>-2804889</v>
      </c>
      <c r="H1217">
        <v>1490</v>
      </c>
      <c r="I1217">
        <v>-1882.48</v>
      </c>
      <c r="J1217">
        <v>-2804889</v>
      </c>
    </row>
    <row r="1218" spans="1:10" x14ac:dyDescent="0.25">
      <c r="A1218" t="s">
        <v>287</v>
      </c>
      <c r="B1218" t="s">
        <v>88</v>
      </c>
      <c r="C1218" s="1">
        <v>46033</v>
      </c>
      <c r="D1218" t="s">
        <v>1588</v>
      </c>
      <c r="E1218" t="s">
        <v>184</v>
      </c>
      <c r="F1218" t="s">
        <v>855</v>
      </c>
      <c r="G1218" s="14">
        <v>628024.56999999995</v>
      </c>
      <c r="H1218">
        <v>1490</v>
      </c>
      <c r="I1218">
        <v>421.49</v>
      </c>
      <c r="J1218">
        <v>759909.73</v>
      </c>
    </row>
    <row r="1219" spans="1:10" x14ac:dyDescent="0.25">
      <c r="A1219" t="s">
        <v>287</v>
      </c>
      <c r="B1219" t="s">
        <v>88</v>
      </c>
      <c r="C1219" s="1">
        <v>46033</v>
      </c>
      <c r="D1219" t="s">
        <v>1588</v>
      </c>
      <c r="E1219" t="s">
        <v>786</v>
      </c>
      <c r="F1219" t="s">
        <v>855</v>
      </c>
      <c r="G1219" s="14">
        <v>64.88</v>
      </c>
      <c r="H1219">
        <v>1490</v>
      </c>
      <c r="I1219">
        <v>0.04</v>
      </c>
      <c r="J1219">
        <v>64.88</v>
      </c>
    </row>
    <row r="1220" spans="1:10" x14ac:dyDescent="0.25">
      <c r="A1220" t="s">
        <v>426</v>
      </c>
      <c r="B1220" t="s">
        <v>88</v>
      </c>
      <c r="C1220" s="1">
        <v>46032</v>
      </c>
      <c r="D1220" t="s">
        <v>1681</v>
      </c>
      <c r="E1220" t="s">
        <v>136</v>
      </c>
      <c r="F1220" t="s">
        <v>30</v>
      </c>
      <c r="G1220" s="14">
        <v>1165526.6399999999</v>
      </c>
      <c r="H1220">
        <v>1490</v>
      </c>
      <c r="I1220">
        <v>782.23</v>
      </c>
      <c r="J1220">
        <v>1410287.24</v>
      </c>
    </row>
    <row r="1221" spans="1:10" x14ac:dyDescent="0.25">
      <c r="A1221" t="s">
        <v>426</v>
      </c>
      <c r="B1221" t="s">
        <v>88</v>
      </c>
      <c r="C1221" s="1">
        <v>46032</v>
      </c>
      <c r="D1221" t="s">
        <v>1682</v>
      </c>
      <c r="E1221" t="s">
        <v>136</v>
      </c>
      <c r="F1221" t="s">
        <v>855</v>
      </c>
      <c r="G1221" s="14">
        <v>1850844.19</v>
      </c>
      <c r="H1221">
        <v>1490</v>
      </c>
      <c r="I1221">
        <v>1242.18</v>
      </c>
      <c r="J1221">
        <v>2239521.4700000002</v>
      </c>
    </row>
    <row r="1222" spans="1:10" x14ac:dyDescent="0.25">
      <c r="A1222" t="s">
        <v>161</v>
      </c>
      <c r="B1222" t="s">
        <v>88</v>
      </c>
      <c r="C1222" s="1">
        <v>46031</v>
      </c>
      <c r="D1222" t="s">
        <v>1538</v>
      </c>
      <c r="E1222" t="s">
        <v>136</v>
      </c>
      <c r="F1222" t="s">
        <v>135</v>
      </c>
      <c r="G1222" s="14">
        <v>133516.35</v>
      </c>
      <c r="H1222">
        <v>1490</v>
      </c>
      <c r="I1222">
        <v>89.61</v>
      </c>
      <c r="J1222">
        <v>161553.15</v>
      </c>
    </row>
    <row r="1223" spans="1:10" x14ac:dyDescent="0.25">
      <c r="A1223" t="s">
        <v>161</v>
      </c>
      <c r="B1223" t="s">
        <v>88</v>
      </c>
      <c r="C1223" s="1">
        <v>46031</v>
      </c>
      <c r="D1223" t="s">
        <v>1539</v>
      </c>
      <c r="E1223" t="s">
        <v>136</v>
      </c>
      <c r="F1223" t="s">
        <v>135</v>
      </c>
      <c r="G1223" s="14">
        <v>370062</v>
      </c>
      <c r="H1223">
        <v>1490</v>
      </c>
      <c r="I1223">
        <v>248.36</v>
      </c>
      <c r="J1223">
        <v>447772.05</v>
      </c>
    </row>
    <row r="1224" spans="1:10" x14ac:dyDescent="0.25">
      <c r="A1224" t="s">
        <v>161</v>
      </c>
      <c r="B1224" t="s">
        <v>279</v>
      </c>
      <c r="C1224" s="1">
        <v>46031</v>
      </c>
      <c r="D1224" t="s">
        <v>1548</v>
      </c>
      <c r="E1224" t="s">
        <v>944</v>
      </c>
      <c r="F1224" t="s">
        <v>945</v>
      </c>
      <c r="G1224" s="14">
        <v>-14197.02</v>
      </c>
      <c r="H1224">
        <v>1490</v>
      </c>
      <c r="I1224">
        <v>-9.5299999999999994</v>
      </c>
      <c r="J1224">
        <v>-17178.39</v>
      </c>
    </row>
    <row r="1225" spans="1:10" x14ac:dyDescent="0.25">
      <c r="A1225" t="s">
        <v>695</v>
      </c>
      <c r="B1225" t="s">
        <v>88</v>
      </c>
      <c r="C1225" s="1">
        <v>46031</v>
      </c>
      <c r="D1225" t="s">
        <v>1590</v>
      </c>
      <c r="E1225" t="s">
        <v>329</v>
      </c>
      <c r="F1225" t="s">
        <v>855</v>
      </c>
      <c r="G1225" s="14">
        <v>2725837.6</v>
      </c>
      <c r="H1225">
        <v>1490</v>
      </c>
      <c r="I1225">
        <v>1829.42</v>
      </c>
      <c r="J1225">
        <v>2725837.6</v>
      </c>
    </row>
    <row r="1226" spans="1:10" x14ac:dyDescent="0.25">
      <c r="A1226" t="s">
        <v>1607</v>
      </c>
      <c r="B1226" t="s">
        <v>88</v>
      </c>
      <c r="C1226" s="1">
        <v>46031</v>
      </c>
      <c r="D1226" t="s">
        <v>1609</v>
      </c>
      <c r="E1226" t="s">
        <v>134</v>
      </c>
      <c r="F1226" t="s">
        <v>24</v>
      </c>
      <c r="G1226" s="14">
        <v>158762.46</v>
      </c>
      <c r="H1226">
        <v>1490</v>
      </c>
      <c r="I1226">
        <v>106.55</v>
      </c>
      <c r="J1226">
        <v>175432.52</v>
      </c>
    </row>
    <row r="1227" spans="1:10" x14ac:dyDescent="0.25">
      <c r="A1227" t="s">
        <v>1607</v>
      </c>
      <c r="B1227" t="s">
        <v>88</v>
      </c>
      <c r="C1227" s="1">
        <v>46031</v>
      </c>
      <c r="D1227" t="s">
        <v>1609</v>
      </c>
      <c r="E1227" t="s">
        <v>136</v>
      </c>
      <c r="F1227" t="s">
        <v>24</v>
      </c>
      <c r="G1227" s="14">
        <v>1167184.07</v>
      </c>
      <c r="H1227">
        <v>1490</v>
      </c>
      <c r="I1227">
        <v>783.35</v>
      </c>
      <c r="J1227">
        <v>1412292.72</v>
      </c>
    </row>
    <row r="1228" spans="1:10" x14ac:dyDescent="0.25">
      <c r="A1228" t="s">
        <v>1750</v>
      </c>
      <c r="B1228" t="s">
        <v>88</v>
      </c>
      <c r="C1228" s="1">
        <v>46031</v>
      </c>
      <c r="D1228" t="s">
        <v>1751</v>
      </c>
      <c r="E1228" t="s">
        <v>136</v>
      </c>
      <c r="F1228" t="s">
        <v>855</v>
      </c>
      <c r="G1228" s="14">
        <v>531475.56000000006</v>
      </c>
      <c r="H1228">
        <v>1490</v>
      </c>
      <c r="I1228">
        <v>356.7</v>
      </c>
      <c r="J1228">
        <v>643085.43000000005</v>
      </c>
    </row>
    <row r="1229" spans="1:10" x14ac:dyDescent="0.25">
      <c r="A1229" t="s">
        <v>287</v>
      </c>
      <c r="B1229" t="s">
        <v>88</v>
      </c>
      <c r="C1229" s="1">
        <v>46030</v>
      </c>
      <c r="D1229" t="s">
        <v>1587</v>
      </c>
      <c r="E1229" t="s">
        <v>136</v>
      </c>
      <c r="F1229" t="s">
        <v>855</v>
      </c>
      <c r="G1229" s="14">
        <v>431138</v>
      </c>
      <c r="H1229">
        <v>1485</v>
      </c>
      <c r="I1229">
        <v>290.33</v>
      </c>
      <c r="J1229">
        <v>521676.98</v>
      </c>
    </row>
    <row r="1230" spans="1:10" x14ac:dyDescent="0.25">
      <c r="A1230" t="s">
        <v>287</v>
      </c>
      <c r="B1230" t="s">
        <v>88</v>
      </c>
      <c r="C1230" s="1">
        <v>46030</v>
      </c>
      <c r="D1230" t="s">
        <v>1587</v>
      </c>
      <c r="E1230" t="s">
        <v>329</v>
      </c>
      <c r="F1230" t="s">
        <v>855</v>
      </c>
      <c r="G1230" s="14">
        <v>-431138</v>
      </c>
      <c r="H1230">
        <v>1485</v>
      </c>
      <c r="I1230">
        <v>-290.33</v>
      </c>
      <c r="J1230">
        <v>-431138</v>
      </c>
    </row>
    <row r="1231" spans="1:10" x14ac:dyDescent="0.25">
      <c r="A1231" t="s">
        <v>287</v>
      </c>
      <c r="B1231" t="s">
        <v>88</v>
      </c>
      <c r="C1231" s="1">
        <v>46030</v>
      </c>
      <c r="D1231" t="s">
        <v>1587</v>
      </c>
      <c r="E1231" t="s">
        <v>184</v>
      </c>
      <c r="F1231" t="s">
        <v>855</v>
      </c>
      <c r="G1231" s="14">
        <v>109965.81</v>
      </c>
      <c r="H1231">
        <v>1485</v>
      </c>
      <c r="I1231">
        <v>74.05</v>
      </c>
      <c r="J1231">
        <v>133058.63</v>
      </c>
    </row>
    <row r="1232" spans="1:10" x14ac:dyDescent="0.25">
      <c r="A1232" t="s">
        <v>287</v>
      </c>
      <c r="B1232" t="s">
        <v>88</v>
      </c>
      <c r="C1232" s="1">
        <v>46030</v>
      </c>
      <c r="D1232" t="s">
        <v>1587</v>
      </c>
      <c r="E1232" t="s">
        <v>786</v>
      </c>
      <c r="F1232" t="s">
        <v>855</v>
      </c>
      <c r="G1232" s="14">
        <v>88.99</v>
      </c>
      <c r="H1232">
        <v>1485</v>
      </c>
      <c r="I1232">
        <v>0.06</v>
      </c>
      <c r="J1232">
        <v>88.99</v>
      </c>
    </row>
    <row r="1233" spans="1:10" x14ac:dyDescent="0.25">
      <c r="A1233" t="s">
        <v>1607</v>
      </c>
      <c r="B1233" t="s">
        <v>88</v>
      </c>
      <c r="C1233" s="1">
        <v>46030</v>
      </c>
      <c r="D1233" t="s">
        <v>1608</v>
      </c>
      <c r="E1233" t="s">
        <v>134</v>
      </c>
      <c r="F1233" t="s">
        <v>25</v>
      </c>
      <c r="G1233" s="14">
        <v>131747.71</v>
      </c>
      <c r="H1233">
        <v>1485</v>
      </c>
      <c r="I1233">
        <v>88.72</v>
      </c>
      <c r="J1233">
        <v>145581.22</v>
      </c>
    </row>
    <row r="1234" spans="1:10" x14ac:dyDescent="0.25">
      <c r="A1234" t="s">
        <v>1607</v>
      </c>
      <c r="B1234" t="s">
        <v>88</v>
      </c>
      <c r="C1234" s="1">
        <v>46030</v>
      </c>
      <c r="D1234" t="s">
        <v>1608</v>
      </c>
      <c r="E1234" t="s">
        <v>136</v>
      </c>
      <c r="F1234" t="s">
        <v>25</v>
      </c>
      <c r="G1234" s="14">
        <v>1302870.71</v>
      </c>
      <c r="H1234">
        <v>1485</v>
      </c>
      <c r="I1234">
        <v>877.35</v>
      </c>
      <c r="J1234">
        <v>1576473.56</v>
      </c>
    </row>
    <row r="1235" spans="1:10" x14ac:dyDescent="0.25">
      <c r="A1235" t="s">
        <v>372</v>
      </c>
      <c r="B1235" t="s">
        <v>88</v>
      </c>
      <c r="C1235" s="1">
        <v>46030</v>
      </c>
      <c r="D1235" t="s">
        <v>1639</v>
      </c>
      <c r="E1235" t="s">
        <v>136</v>
      </c>
      <c r="F1235" t="s">
        <v>30</v>
      </c>
      <c r="G1235" s="14">
        <v>791568.2</v>
      </c>
      <c r="H1235">
        <v>1485</v>
      </c>
      <c r="I1235">
        <v>533.04</v>
      </c>
      <c r="J1235">
        <v>957803.8</v>
      </c>
    </row>
    <row r="1236" spans="1:10" x14ac:dyDescent="0.25">
      <c r="A1236" t="s">
        <v>426</v>
      </c>
      <c r="B1236" t="s">
        <v>88</v>
      </c>
      <c r="C1236" s="1">
        <v>46030</v>
      </c>
      <c r="D1236" t="s">
        <v>1678</v>
      </c>
      <c r="E1236" t="s">
        <v>136</v>
      </c>
      <c r="F1236" t="s">
        <v>30</v>
      </c>
      <c r="G1236" s="14">
        <v>392537.22</v>
      </c>
      <c r="H1236">
        <v>1485</v>
      </c>
      <c r="I1236">
        <v>264.33</v>
      </c>
      <c r="J1236">
        <v>474970.04</v>
      </c>
    </row>
    <row r="1237" spans="1:10" x14ac:dyDescent="0.25">
      <c r="A1237" t="s">
        <v>426</v>
      </c>
      <c r="B1237" t="s">
        <v>88</v>
      </c>
      <c r="C1237" s="1">
        <v>46030</v>
      </c>
      <c r="D1237" t="s">
        <v>1679</v>
      </c>
      <c r="E1237" t="s">
        <v>136</v>
      </c>
      <c r="F1237" t="s">
        <v>855</v>
      </c>
      <c r="G1237" s="14">
        <v>1539770.27</v>
      </c>
      <c r="H1237">
        <v>1485</v>
      </c>
      <c r="I1237">
        <v>1036.8800000000001</v>
      </c>
      <c r="J1237">
        <v>1863122.03</v>
      </c>
    </row>
    <row r="1238" spans="1:10" x14ac:dyDescent="0.25">
      <c r="A1238" t="s">
        <v>426</v>
      </c>
      <c r="B1238" t="s">
        <v>88</v>
      </c>
      <c r="C1238" s="1">
        <v>46030</v>
      </c>
      <c r="D1238" t="s">
        <v>1680</v>
      </c>
      <c r="E1238" t="s">
        <v>136</v>
      </c>
      <c r="F1238" t="s">
        <v>30</v>
      </c>
      <c r="G1238" s="14">
        <v>285341.7</v>
      </c>
      <c r="H1238">
        <v>1485</v>
      </c>
      <c r="I1238">
        <v>192.15</v>
      </c>
      <c r="J1238">
        <v>345263.45</v>
      </c>
    </row>
    <row r="1239" spans="1:10" x14ac:dyDescent="0.25">
      <c r="A1239" t="s">
        <v>1394</v>
      </c>
      <c r="B1239" t="s">
        <v>88</v>
      </c>
      <c r="C1239" s="1">
        <v>46030</v>
      </c>
      <c r="D1239" t="s">
        <v>1737</v>
      </c>
      <c r="E1239" t="s">
        <v>136</v>
      </c>
      <c r="F1239" t="s">
        <v>6</v>
      </c>
      <c r="G1239" s="14">
        <v>696004.65</v>
      </c>
      <c r="H1239">
        <v>1485</v>
      </c>
      <c r="I1239">
        <v>468.69</v>
      </c>
      <c r="J1239">
        <v>842158.35</v>
      </c>
    </row>
    <row r="1240" spans="1:10" x14ac:dyDescent="0.25">
      <c r="A1240" t="s">
        <v>552</v>
      </c>
      <c r="B1240" t="s">
        <v>88</v>
      </c>
      <c r="C1240" s="1">
        <v>46030</v>
      </c>
      <c r="D1240" t="s">
        <v>1785</v>
      </c>
      <c r="E1240" t="s">
        <v>136</v>
      </c>
      <c r="F1240" t="s">
        <v>855</v>
      </c>
      <c r="G1240" s="14">
        <v>209514.9</v>
      </c>
      <c r="H1240">
        <v>1485</v>
      </c>
      <c r="I1240">
        <v>141.09</v>
      </c>
      <c r="J1240">
        <v>253513.03</v>
      </c>
    </row>
    <row r="1241" spans="1:10" x14ac:dyDescent="0.25">
      <c r="A1241" t="s">
        <v>1788</v>
      </c>
      <c r="B1241" t="s">
        <v>88</v>
      </c>
      <c r="C1241" s="1">
        <v>46030</v>
      </c>
      <c r="D1241" t="s">
        <v>1789</v>
      </c>
      <c r="E1241" t="s">
        <v>136</v>
      </c>
      <c r="F1241" t="s">
        <v>135</v>
      </c>
      <c r="G1241" s="14">
        <v>143289.26</v>
      </c>
      <c r="H1241">
        <v>1485</v>
      </c>
      <c r="I1241">
        <v>96.49</v>
      </c>
      <c r="J1241">
        <v>173380</v>
      </c>
    </row>
    <row r="1242" spans="1:10" x14ac:dyDescent="0.25">
      <c r="A1242" t="s">
        <v>161</v>
      </c>
      <c r="B1242" t="s">
        <v>88</v>
      </c>
      <c r="C1242" s="1">
        <v>46029</v>
      </c>
      <c r="D1242" t="s">
        <v>1537</v>
      </c>
      <c r="E1242" t="s">
        <v>136</v>
      </c>
      <c r="F1242" t="s">
        <v>135</v>
      </c>
      <c r="G1242" s="14">
        <v>259349.4</v>
      </c>
      <c r="H1242">
        <v>1485</v>
      </c>
      <c r="I1242">
        <v>174.65</v>
      </c>
      <c r="J1242">
        <v>313808.90000000002</v>
      </c>
    </row>
    <row r="1243" spans="1:10" x14ac:dyDescent="0.25">
      <c r="A1243" t="s">
        <v>175</v>
      </c>
      <c r="B1243" t="s">
        <v>88</v>
      </c>
      <c r="C1243" s="1">
        <v>46029</v>
      </c>
      <c r="D1243" t="s">
        <v>1556</v>
      </c>
      <c r="E1243" t="s">
        <v>177</v>
      </c>
      <c r="F1243" t="s">
        <v>109</v>
      </c>
      <c r="G1243" s="14">
        <v>18662.11</v>
      </c>
      <c r="H1243">
        <v>1485</v>
      </c>
      <c r="I1243">
        <v>12.57</v>
      </c>
      <c r="J1243">
        <v>23700.880000000001</v>
      </c>
    </row>
    <row r="1244" spans="1:10" x14ac:dyDescent="0.25">
      <c r="A1244" t="s">
        <v>175</v>
      </c>
      <c r="B1244" t="s">
        <v>88</v>
      </c>
      <c r="C1244" s="1">
        <v>46029</v>
      </c>
      <c r="D1244" t="s">
        <v>1556</v>
      </c>
      <c r="E1244" t="s">
        <v>180</v>
      </c>
      <c r="F1244" t="s">
        <v>109</v>
      </c>
      <c r="G1244" s="14">
        <v>559.83000000000004</v>
      </c>
      <c r="H1244">
        <v>1485</v>
      </c>
      <c r="I1244">
        <v>0.38</v>
      </c>
      <c r="J1244">
        <v>559.83000000000004</v>
      </c>
    </row>
    <row r="1245" spans="1:10" x14ac:dyDescent="0.25">
      <c r="A1245" t="s">
        <v>695</v>
      </c>
      <c r="B1245" t="s">
        <v>88</v>
      </c>
      <c r="C1245" s="1">
        <v>46029</v>
      </c>
      <c r="D1245" t="s">
        <v>1589</v>
      </c>
      <c r="E1245" t="s">
        <v>329</v>
      </c>
      <c r="F1245" t="s">
        <v>855</v>
      </c>
      <c r="G1245" s="14">
        <v>375760.2</v>
      </c>
      <c r="H1245">
        <v>1485</v>
      </c>
      <c r="I1245">
        <v>253.04</v>
      </c>
      <c r="J1245">
        <v>375760.2</v>
      </c>
    </row>
    <row r="1246" spans="1:10" x14ac:dyDescent="0.25">
      <c r="A1246" t="s">
        <v>364</v>
      </c>
      <c r="B1246" t="s">
        <v>88</v>
      </c>
      <c r="C1246" s="1">
        <v>46029</v>
      </c>
      <c r="D1246" t="s">
        <v>1631</v>
      </c>
      <c r="E1246" t="s">
        <v>102</v>
      </c>
      <c r="F1246" t="s">
        <v>109</v>
      </c>
      <c r="G1246" s="14">
        <v>16500</v>
      </c>
      <c r="H1246">
        <v>1485</v>
      </c>
      <c r="I1246">
        <v>11.11</v>
      </c>
      <c r="J1246">
        <v>16500</v>
      </c>
    </row>
    <row r="1247" spans="1:10" x14ac:dyDescent="0.25">
      <c r="A1247" t="s">
        <v>1664</v>
      </c>
      <c r="B1247" t="s">
        <v>88</v>
      </c>
      <c r="C1247" s="1">
        <v>46029</v>
      </c>
      <c r="D1247" t="s">
        <v>1665</v>
      </c>
      <c r="E1247" t="s">
        <v>686</v>
      </c>
      <c r="F1247" t="s">
        <v>1212</v>
      </c>
      <c r="G1247" s="14">
        <v>120000</v>
      </c>
      <c r="H1247">
        <v>1485</v>
      </c>
      <c r="I1247">
        <v>80.81</v>
      </c>
      <c r="J1247">
        <v>120000</v>
      </c>
    </row>
    <row r="1248" spans="1:10" x14ac:dyDescent="0.25">
      <c r="A1248" t="s">
        <v>1669</v>
      </c>
      <c r="B1248" t="s">
        <v>88</v>
      </c>
      <c r="C1248" s="1">
        <v>46029</v>
      </c>
      <c r="D1248" t="s">
        <v>1670</v>
      </c>
      <c r="E1248" t="s">
        <v>136</v>
      </c>
      <c r="F1248" t="s">
        <v>855</v>
      </c>
      <c r="G1248" s="14">
        <v>222347.11</v>
      </c>
      <c r="H1248">
        <v>1485</v>
      </c>
      <c r="I1248">
        <v>149.72999999999999</v>
      </c>
      <c r="J1248">
        <v>269040</v>
      </c>
    </row>
    <row r="1249" spans="1:10" x14ac:dyDescent="0.25">
      <c r="A1249" t="s">
        <v>1669</v>
      </c>
      <c r="B1249" t="s">
        <v>88</v>
      </c>
      <c r="C1249" s="1">
        <v>46029</v>
      </c>
      <c r="D1249" t="s">
        <v>1671</v>
      </c>
      <c r="E1249" t="s">
        <v>136</v>
      </c>
      <c r="F1249" t="s">
        <v>855</v>
      </c>
      <c r="G1249" s="14">
        <v>6400</v>
      </c>
      <c r="H1249">
        <v>1485</v>
      </c>
      <c r="I1249">
        <v>4.3099999999999996</v>
      </c>
      <c r="J1249">
        <v>7744</v>
      </c>
    </row>
    <row r="1250" spans="1:10" x14ac:dyDescent="0.25">
      <c r="A1250" t="s">
        <v>443</v>
      </c>
      <c r="B1250" t="s">
        <v>88</v>
      </c>
      <c r="C1250" s="1">
        <v>46029</v>
      </c>
      <c r="D1250" t="s">
        <v>1693</v>
      </c>
      <c r="E1250" t="s">
        <v>90</v>
      </c>
      <c r="F1250" t="s">
        <v>91</v>
      </c>
      <c r="G1250" s="14">
        <v>53039.74</v>
      </c>
      <c r="H1250">
        <v>1485</v>
      </c>
      <c r="I1250">
        <v>35.72</v>
      </c>
      <c r="J1250">
        <v>64178.09</v>
      </c>
    </row>
    <row r="1251" spans="1:10" x14ac:dyDescent="0.25">
      <c r="A1251" t="s">
        <v>443</v>
      </c>
      <c r="B1251" t="s">
        <v>88</v>
      </c>
      <c r="C1251" s="1">
        <v>46029</v>
      </c>
      <c r="D1251" t="s">
        <v>1693</v>
      </c>
      <c r="E1251" t="s">
        <v>92</v>
      </c>
      <c r="F1251" t="s">
        <v>91</v>
      </c>
      <c r="G1251" s="14">
        <v>11858.95</v>
      </c>
      <c r="H1251">
        <v>1485</v>
      </c>
      <c r="I1251">
        <v>7.99</v>
      </c>
      <c r="J1251">
        <v>11858.95</v>
      </c>
    </row>
    <row r="1252" spans="1:10" x14ac:dyDescent="0.25">
      <c r="A1252" t="s">
        <v>455</v>
      </c>
      <c r="B1252" t="s">
        <v>88</v>
      </c>
      <c r="C1252" s="1">
        <v>46029</v>
      </c>
      <c r="D1252" t="s">
        <v>1704</v>
      </c>
      <c r="E1252" t="s">
        <v>136</v>
      </c>
      <c r="F1252" t="s">
        <v>24</v>
      </c>
      <c r="G1252" s="14">
        <v>413715.66</v>
      </c>
      <c r="H1252">
        <v>1485</v>
      </c>
      <c r="I1252">
        <v>278.60000000000002</v>
      </c>
      <c r="J1252">
        <v>500595.95</v>
      </c>
    </row>
    <row r="1253" spans="1:10" x14ac:dyDescent="0.25">
      <c r="A1253" t="s">
        <v>1807</v>
      </c>
      <c r="B1253" t="s">
        <v>88</v>
      </c>
      <c r="C1253" s="1">
        <v>46029</v>
      </c>
      <c r="D1253" t="s">
        <v>1808</v>
      </c>
      <c r="E1253" t="s">
        <v>524</v>
      </c>
      <c r="F1253" t="s">
        <v>135</v>
      </c>
      <c r="G1253" s="14">
        <v>82671.56</v>
      </c>
      <c r="H1253">
        <v>1485</v>
      </c>
      <c r="I1253">
        <v>55.67</v>
      </c>
      <c r="J1253">
        <v>100032.59</v>
      </c>
    </row>
    <row r="1254" spans="1:10" x14ac:dyDescent="0.25">
      <c r="A1254" t="s">
        <v>226</v>
      </c>
      <c r="B1254" t="s">
        <v>88</v>
      </c>
      <c r="C1254" s="1">
        <v>46028</v>
      </c>
      <c r="D1254" t="s">
        <v>1562</v>
      </c>
      <c r="E1254" t="s">
        <v>232</v>
      </c>
      <c r="F1254" t="s">
        <v>109</v>
      </c>
      <c r="G1254" s="14">
        <v>5308.59</v>
      </c>
      <c r="H1254">
        <v>1490</v>
      </c>
      <c r="I1254">
        <v>3.56</v>
      </c>
      <c r="J1254">
        <v>6741.91</v>
      </c>
    </row>
    <row r="1255" spans="1:10" x14ac:dyDescent="0.25">
      <c r="A1255" t="s">
        <v>226</v>
      </c>
      <c r="B1255" t="s">
        <v>88</v>
      </c>
      <c r="C1255" s="1">
        <v>46028</v>
      </c>
      <c r="D1255" t="s">
        <v>1562</v>
      </c>
      <c r="E1255" t="s">
        <v>233</v>
      </c>
      <c r="F1255" t="s">
        <v>109</v>
      </c>
      <c r="G1255" s="14">
        <v>672.77</v>
      </c>
      <c r="H1255">
        <v>1490</v>
      </c>
      <c r="I1255">
        <v>0.45</v>
      </c>
      <c r="J1255">
        <v>672.77</v>
      </c>
    </row>
    <row r="1256" spans="1:10" x14ac:dyDescent="0.25">
      <c r="A1256" t="s">
        <v>226</v>
      </c>
      <c r="B1256" t="s">
        <v>88</v>
      </c>
      <c r="C1256" s="1">
        <v>46028</v>
      </c>
      <c r="D1256" t="s">
        <v>1563</v>
      </c>
      <c r="E1256" t="s">
        <v>232</v>
      </c>
      <c r="F1256" t="s">
        <v>109</v>
      </c>
      <c r="G1256" s="14">
        <v>5233.4399999999996</v>
      </c>
      <c r="H1256">
        <v>1490</v>
      </c>
      <c r="I1256">
        <v>3.51</v>
      </c>
      <c r="J1256">
        <v>6646.47</v>
      </c>
    </row>
    <row r="1257" spans="1:10" x14ac:dyDescent="0.25">
      <c r="A1257" t="s">
        <v>226</v>
      </c>
      <c r="B1257" t="s">
        <v>88</v>
      </c>
      <c r="C1257" s="1">
        <v>46028</v>
      </c>
      <c r="D1257" t="s">
        <v>1563</v>
      </c>
      <c r="E1257" t="s">
        <v>233</v>
      </c>
      <c r="F1257" t="s">
        <v>109</v>
      </c>
      <c r="G1257" s="14">
        <v>672.77</v>
      </c>
      <c r="H1257">
        <v>1490</v>
      </c>
      <c r="I1257">
        <v>0.45</v>
      </c>
      <c r="J1257">
        <v>672.77</v>
      </c>
    </row>
    <row r="1258" spans="1:10" x14ac:dyDescent="0.25">
      <c r="A1258" t="s">
        <v>372</v>
      </c>
      <c r="B1258" t="s">
        <v>88</v>
      </c>
      <c r="C1258" s="1">
        <v>46028</v>
      </c>
      <c r="D1258" t="s">
        <v>1638</v>
      </c>
      <c r="E1258" t="s">
        <v>136</v>
      </c>
      <c r="F1258" t="s">
        <v>855</v>
      </c>
      <c r="G1258" s="14">
        <v>75969.600000000006</v>
      </c>
      <c r="H1258">
        <v>1490</v>
      </c>
      <c r="I1258">
        <v>50.99</v>
      </c>
      <c r="J1258">
        <v>91919.1</v>
      </c>
    </row>
    <row r="1259" spans="1:10" x14ac:dyDescent="0.25">
      <c r="A1259" t="s">
        <v>453</v>
      </c>
      <c r="B1259" t="s">
        <v>88</v>
      </c>
      <c r="C1259" s="1">
        <v>46028</v>
      </c>
      <c r="D1259" t="s">
        <v>1699</v>
      </c>
      <c r="E1259" t="s">
        <v>136</v>
      </c>
      <c r="F1259" t="s">
        <v>855</v>
      </c>
      <c r="G1259" s="14">
        <v>736786.81</v>
      </c>
      <c r="H1259">
        <v>1490</v>
      </c>
      <c r="I1259">
        <v>494.49</v>
      </c>
      <c r="J1259">
        <v>891512.04</v>
      </c>
    </row>
    <row r="1260" spans="1:10" x14ac:dyDescent="0.25">
      <c r="A1260" t="s">
        <v>453</v>
      </c>
      <c r="B1260" t="s">
        <v>88</v>
      </c>
      <c r="C1260" s="1">
        <v>46028</v>
      </c>
      <c r="D1260" t="s">
        <v>1699</v>
      </c>
      <c r="E1260" t="s">
        <v>136</v>
      </c>
      <c r="F1260" t="s">
        <v>24</v>
      </c>
      <c r="G1260" s="14">
        <v>62138.64</v>
      </c>
      <c r="H1260">
        <v>1490</v>
      </c>
      <c r="I1260">
        <v>41.7</v>
      </c>
      <c r="J1260">
        <v>75187.75</v>
      </c>
    </row>
    <row r="1261" spans="1:10" x14ac:dyDescent="0.25">
      <c r="A1261" t="s">
        <v>453</v>
      </c>
      <c r="B1261" t="s">
        <v>88</v>
      </c>
      <c r="C1261" s="1">
        <v>46028</v>
      </c>
      <c r="D1261" t="s">
        <v>1699</v>
      </c>
      <c r="E1261" t="s">
        <v>136</v>
      </c>
      <c r="F1261" t="s">
        <v>135</v>
      </c>
      <c r="G1261" s="14">
        <v>88769.5</v>
      </c>
      <c r="H1261">
        <v>1490</v>
      </c>
      <c r="I1261">
        <v>59.58</v>
      </c>
      <c r="J1261">
        <v>107411.1</v>
      </c>
    </row>
    <row r="1262" spans="1:10" x14ac:dyDescent="0.25">
      <c r="A1262" t="s">
        <v>501</v>
      </c>
      <c r="B1262" t="s">
        <v>88</v>
      </c>
      <c r="C1262" s="1">
        <v>46028</v>
      </c>
      <c r="D1262" t="s">
        <v>1743</v>
      </c>
      <c r="E1262" t="s">
        <v>205</v>
      </c>
      <c r="F1262" t="s">
        <v>109</v>
      </c>
      <c r="G1262" s="14">
        <v>218287.2</v>
      </c>
      <c r="H1262">
        <v>1490</v>
      </c>
      <c r="I1262">
        <v>146.5</v>
      </c>
      <c r="J1262">
        <v>264127.51</v>
      </c>
    </row>
    <row r="1263" spans="1:10" x14ac:dyDescent="0.25">
      <c r="A1263" t="s">
        <v>512</v>
      </c>
      <c r="B1263" t="s">
        <v>88</v>
      </c>
      <c r="C1263" s="1">
        <v>46028</v>
      </c>
      <c r="D1263" t="s">
        <v>1767</v>
      </c>
      <c r="E1263" t="s">
        <v>136</v>
      </c>
      <c r="F1263" t="s">
        <v>24</v>
      </c>
      <c r="G1263" s="14">
        <v>60697</v>
      </c>
      <c r="H1263">
        <v>1490</v>
      </c>
      <c r="I1263">
        <v>40.74</v>
      </c>
      <c r="J1263">
        <v>73443.37</v>
      </c>
    </row>
    <row r="1264" spans="1:10" x14ac:dyDescent="0.25">
      <c r="A1264" t="s">
        <v>106</v>
      </c>
      <c r="B1264" t="s">
        <v>88</v>
      </c>
      <c r="C1264" s="1">
        <v>46027</v>
      </c>
      <c r="D1264" t="s">
        <v>1521</v>
      </c>
      <c r="E1264" t="s">
        <v>102</v>
      </c>
      <c r="F1264" t="s">
        <v>109</v>
      </c>
      <c r="G1264" s="14">
        <v>58375</v>
      </c>
      <c r="H1264">
        <v>1495</v>
      </c>
      <c r="I1264">
        <v>39.049999999999997</v>
      </c>
      <c r="J1264">
        <v>58375</v>
      </c>
    </row>
    <row r="1265" spans="1:10" x14ac:dyDescent="0.25">
      <c r="A1265" t="s">
        <v>383</v>
      </c>
      <c r="B1265" t="s">
        <v>88</v>
      </c>
      <c r="C1265" s="1">
        <v>46027</v>
      </c>
      <c r="D1265" t="s">
        <v>1642</v>
      </c>
      <c r="E1265" t="s">
        <v>136</v>
      </c>
      <c r="F1265" t="s">
        <v>135</v>
      </c>
      <c r="G1265" s="14">
        <v>69469.83</v>
      </c>
      <c r="H1265">
        <v>1495</v>
      </c>
      <c r="I1265">
        <v>46.47</v>
      </c>
      <c r="J1265">
        <v>84058.49</v>
      </c>
    </row>
    <row r="1266" spans="1:10" x14ac:dyDescent="0.25">
      <c r="A1266" t="s">
        <v>1790</v>
      </c>
      <c r="B1266" t="s">
        <v>88</v>
      </c>
      <c r="C1266" s="1">
        <v>46027</v>
      </c>
      <c r="D1266" t="s">
        <v>1791</v>
      </c>
      <c r="E1266" t="s">
        <v>134</v>
      </c>
      <c r="F1266" t="s">
        <v>855</v>
      </c>
      <c r="G1266" s="14">
        <v>2099752.08</v>
      </c>
      <c r="H1266">
        <v>1495</v>
      </c>
      <c r="I1266">
        <v>1404.52</v>
      </c>
      <c r="J1266">
        <v>2320226.0499999998</v>
      </c>
    </row>
    <row r="1267" spans="1:10" x14ac:dyDescent="0.25">
      <c r="A1267" t="s">
        <v>1550</v>
      </c>
      <c r="B1267" t="s">
        <v>88</v>
      </c>
      <c r="C1267" s="1">
        <v>46026</v>
      </c>
      <c r="D1267" t="s">
        <v>1551</v>
      </c>
      <c r="E1267" t="s">
        <v>90</v>
      </c>
      <c r="F1267" t="s">
        <v>91</v>
      </c>
      <c r="G1267" s="14">
        <v>91886.47</v>
      </c>
      <c r="H1267">
        <v>1495</v>
      </c>
      <c r="I1267">
        <v>61.46</v>
      </c>
      <c r="J1267">
        <v>111182.64</v>
      </c>
    </row>
    <row r="1268" spans="1:10" x14ac:dyDescent="0.25">
      <c r="A1268" t="s">
        <v>1550</v>
      </c>
      <c r="B1268" t="s">
        <v>88</v>
      </c>
      <c r="C1268" s="1">
        <v>46026</v>
      </c>
      <c r="D1268" t="s">
        <v>1551</v>
      </c>
      <c r="E1268" t="s">
        <v>92</v>
      </c>
      <c r="F1268" t="s">
        <v>91</v>
      </c>
      <c r="G1268" s="14">
        <v>14834.32</v>
      </c>
      <c r="H1268">
        <v>1495</v>
      </c>
      <c r="I1268">
        <v>9.92</v>
      </c>
      <c r="J1268">
        <v>14834.32</v>
      </c>
    </row>
    <row r="1269" spans="1:10" x14ac:dyDescent="0.25">
      <c r="A1269" t="s">
        <v>504</v>
      </c>
      <c r="B1269" t="s">
        <v>88</v>
      </c>
      <c r="C1269" s="1">
        <v>46025</v>
      </c>
      <c r="D1269" t="s">
        <v>1754</v>
      </c>
      <c r="E1269" t="s">
        <v>422</v>
      </c>
      <c r="F1269" t="s">
        <v>109</v>
      </c>
      <c r="G1269" s="14">
        <v>54024</v>
      </c>
      <c r="H1269">
        <v>1495</v>
      </c>
      <c r="I1269">
        <v>36.14</v>
      </c>
      <c r="J1269">
        <v>65369.04</v>
      </c>
    </row>
    <row r="1270" spans="1:10" x14ac:dyDescent="0.25">
      <c r="A1270" t="s">
        <v>132</v>
      </c>
      <c r="B1270" t="s">
        <v>88</v>
      </c>
      <c r="C1270" s="1">
        <v>46024</v>
      </c>
      <c r="D1270" t="s">
        <v>1528</v>
      </c>
      <c r="E1270" t="s">
        <v>136</v>
      </c>
      <c r="F1270" t="s">
        <v>135</v>
      </c>
      <c r="G1270" s="14">
        <v>38315.99</v>
      </c>
      <c r="H1270">
        <v>1495</v>
      </c>
      <c r="I1270">
        <v>25.63</v>
      </c>
      <c r="J1270">
        <v>46362.35</v>
      </c>
    </row>
    <row r="1271" spans="1:10" x14ac:dyDescent="0.25">
      <c r="A1271" t="s">
        <v>275</v>
      </c>
      <c r="B1271" t="s">
        <v>88</v>
      </c>
      <c r="C1271" s="1">
        <v>46024</v>
      </c>
      <c r="D1271" t="s">
        <v>1582</v>
      </c>
      <c r="E1271" t="s">
        <v>90</v>
      </c>
      <c r="F1271" t="s">
        <v>91</v>
      </c>
      <c r="G1271" s="14">
        <v>884559.86</v>
      </c>
      <c r="H1271">
        <v>1495</v>
      </c>
      <c r="I1271">
        <v>591.67999999999995</v>
      </c>
      <c r="J1271">
        <v>1070317.43</v>
      </c>
    </row>
    <row r="1272" spans="1:10" x14ac:dyDescent="0.25">
      <c r="A1272" t="s">
        <v>275</v>
      </c>
      <c r="B1272" t="s">
        <v>88</v>
      </c>
      <c r="C1272" s="1">
        <v>46024</v>
      </c>
      <c r="D1272" t="s">
        <v>1582</v>
      </c>
      <c r="E1272" t="s">
        <v>92</v>
      </c>
      <c r="F1272" t="s">
        <v>91</v>
      </c>
      <c r="G1272" s="14">
        <v>160563.57999999999</v>
      </c>
      <c r="H1272">
        <v>1495</v>
      </c>
      <c r="I1272">
        <v>107.4</v>
      </c>
      <c r="J1272">
        <v>160563.57999999999</v>
      </c>
    </row>
    <row r="1273" spans="1:10" x14ac:dyDescent="0.25">
      <c r="A1273" t="s">
        <v>478</v>
      </c>
      <c r="B1273" t="s">
        <v>88</v>
      </c>
      <c r="C1273" s="1">
        <v>46024</v>
      </c>
      <c r="D1273" t="s">
        <v>1725</v>
      </c>
      <c r="E1273" t="s">
        <v>267</v>
      </c>
      <c r="F1273" t="s">
        <v>109</v>
      </c>
      <c r="G1273" s="14">
        <v>18929.75</v>
      </c>
      <c r="H1273">
        <v>1495</v>
      </c>
      <c r="I1273">
        <v>12.66</v>
      </c>
      <c r="J1273">
        <v>22905</v>
      </c>
    </row>
    <row r="1274" spans="1:10" x14ac:dyDescent="0.25">
      <c r="A1274" t="s">
        <v>265</v>
      </c>
      <c r="B1274" t="s">
        <v>88</v>
      </c>
      <c r="C1274" s="1">
        <v>46023</v>
      </c>
      <c r="D1274" t="s">
        <v>1576</v>
      </c>
      <c r="E1274" t="s">
        <v>267</v>
      </c>
      <c r="F1274" t="s">
        <v>109</v>
      </c>
      <c r="G1274" s="14">
        <v>81600</v>
      </c>
      <c r="H1274">
        <v>1480</v>
      </c>
      <c r="I1274">
        <v>55.14</v>
      </c>
      <c r="J1274">
        <v>98736</v>
      </c>
    </row>
    <row r="1275" spans="1:10" x14ac:dyDescent="0.25">
      <c r="A1275" t="s">
        <v>125</v>
      </c>
      <c r="B1275" t="s">
        <v>88</v>
      </c>
      <c r="C1275" s="1">
        <v>45961</v>
      </c>
      <c r="D1275" t="s">
        <v>972</v>
      </c>
      <c r="E1275" t="s">
        <v>114</v>
      </c>
      <c r="F1275" t="s">
        <v>117</v>
      </c>
      <c r="G1275" s="14">
        <v>1435.91</v>
      </c>
      <c r="H1275">
        <v>1475</v>
      </c>
      <c r="I1275">
        <v>0.97</v>
      </c>
      <c r="J1275">
        <v>1737.45</v>
      </c>
    </row>
    <row r="1276" spans="1:10" x14ac:dyDescent="0.25">
      <c r="A1276" t="s">
        <v>125</v>
      </c>
      <c r="B1276" t="s">
        <v>88</v>
      </c>
      <c r="C1276" s="1">
        <v>45961</v>
      </c>
      <c r="D1276" t="s">
        <v>972</v>
      </c>
      <c r="E1276" t="s">
        <v>127</v>
      </c>
      <c r="F1276" t="s">
        <v>117</v>
      </c>
      <c r="G1276" s="14">
        <v>143.6</v>
      </c>
      <c r="H1276">
        <v>1475</v>
      </c>
      <c r="I1276">
        <v>0.1</v>
      </c>
      <c r="J1276">
        <v>143.6</v>
      </c>
    </row>
    <row r="1277" spans="1:10" x14ac:dyDescent="0.25">
      <c r="A1277" t="s">
        <v>349</v>
      </c>
      <c r="B1277" t="s">
        <v>96</v>
      </c>
      <c r="C1277" s="1">
        <v>45961</v>
      </c>
      <c r="D1277" t="s">
        <v>1176</v>
      </c>
      <c r="E1277" t="s">
        <v>102</v>
      </c>
      <c r="F1277" t="s">
        <v>109</v>
      </c>
      <c r="G1277" s="14">
        <v>178358.98</v>
      </c>
      <c r="H1277">
        <v>1475</v>
      </c>
      <c r="I1277">
        <v>120.92</v>
      </c>
      <c r="J1277">
        <v>178358.98</v>
      </c>
    </row>
    <row r="1278" spans="1:10" x14ac:dyDescent="0.25">
      <c r="A1278" t="s">
        <v>426</v>
      </c>
      <c r="B1278" t="s">
        <v>88</v>
      </c>
      <c r="C1278" s="1">
        <v>45961</v>
      </c>
      <c r="D1278" t="s">
        <v>1290</v>
      </c>
      <c r="E1278" t="s">
        <v>136</v>
      </c>
      <c r="F1278" t="s">
        <v>8</v>
      </c>
      <c r="G1278" s="14">
        <v>269775.01</v>
      </c>
      <c r="H1278">
        <v>1475</v>
      </c>
      <c r="I1278">
        <v>182.9</v>
      </c>
      <c r="J1278">
        <v>326427.76</v>
      </c>
    </row>
    <row r="1279" spans="1:10" x14ac:dyDescent="0.25">
      <c r="A1279" t="s">
        <v>426</v>
      </c>
      <c r="B1279" t="s">
        <v>88</v>
      </c>
      <c r="C1279" s="1">
        <v>45961</v>
      </c>
      <c r="D1279" t="s">
        <v>1291</v>
      </c>
      <c r="E1279" t="s">
        <v>136</v>
      </c>
      <c r="F1279" t="s">
        <v>19</v>
      </c>
      <c r="G1279" s="14">
        <v>48921.4</v>
      </c>
      <c r="H1279">
        <v>1475</v>
      </c>
      <c r="I1279">
        <v>33.17</v>
      </c>
      <c r="J1279">
        <v>59194.89</v>
      </c>
    </row>
    <row r="1280" spans="1:10" x14ac:dyDescent="0.25">
      <c r="A1280" t="s">
        <v>483</v>
      </c>
      <c r="B1280" t="s">
        <v>88</v>
      </c>
      <c r="C1280" s="1">
        <v>45961</v>
      </c>
      <c r="D1280" t="s">
        <v>1384</v>
      </c>
      <c r="E1280" t="s">
        <v>136</v>
      </c>
      <c r="F1280" t="s">
        <v>135</v>
      </c>
      <c r="G1280" s="14">
        <v>26400</v>
      </c>
      <c r="H1280">
        <v>1475</v>
      </c>
      <c r="I1280">
        <v>17.899999999999999</v>
      </c>
      <c r="J1280">
        <v>31944</v>
      </c>
    </row>
    <row r="1281" spans="1:10" x14ac:dyDescent="0.25">
      <c r="A1281" t="s">
        <v>1410</v>
      </c>
      <c r="B1281" t="s">
        <v>96</v>
      </c>
      <c r="C1281" s="1">
        <v>45961</v>
      </c>
      <c r="D1281" t="s">
        <v>1411</v>
      </c>
      <c r="E1281" t="s">
        <v>1412</v>
      </c>
      <c r="G1281" s="14">
        <v>3738330.12</v>
      </c>
      <c r="H1281">
        <v>1475</v>
      </c>
      <c r="I1281">
        <v>2534.46</v>
      </c>
      <c r="J1281">
        <v>3738330.12</v>
      </c>
    </row>
    <row r="1282" spans="1:10" x14ac:dyDescent="0.25">
      <c r="A1282" t="s">
        <v>510</v>
      </c>
      <c r="B1282" t="s">
        <v>96</v>
      </c>
      <c r="C1282" s="1">
        <v>45961</v>
      </c>
      <c r="D1282" t="s">
        <v>1435</v>
      </c>
      <c r="E1282" t="s">
        <v>127</v>
      </c>
      <c r="F1282" t="s">
        <v>117</v>
      </c>
      <c r="G1282" s="14">
        <v>181.96</v>
      </c>
      <c r="H1282">
        <v>1475</v>
      </c>
      <c r="I1282">
        <v>0.12</v>
      </c>
      <c r="J1282">
        <v>181.96</v>
      </c>
    </row>
    <row r="1283" spans="1:10" x14ac:dyDescent="0.25">
      <c r="A1283" t="s">
        <v>521</v>
      </c>
      <c r="B1283" t="s">
        <v>88</v>
      </c>
      <c r="C1283" s="1">
        <v>45961</v>
      </c>
      <c r="D1283" t="s">
        <v>1470</v>
      </c>
      <c r="E1283" t="s">
        <v>524</v>
      </c>
      <c r="F1283" t="s">
        <v>109</v>
      </c>
      <c r="G1283" s="14">
        <v>15000</v>
      </c>
      <c r="H1283">
        <v>1475</v>
      </c>
      <c r="I1283">
        <v>10.17</v>
      </c>
      <c r="J1283">
        <v>18150</v>
      </c>
    </row>
    <row r="1284" spans="1:10" x14ac:dyDescent="0.25">
      <c r="A1284" t="s">
        <v>1126</v>
      </c>
      <c r="B1284" t="s">
        <v>88</v>
      </c>
      <c r="C1284" s="1">
        <v>45960</v>
      </c>
      <c r="D1284" t="s">
        <v>1127</v>
      </c>
      <c r="E1284" t="s">
        <v>102</v>
      </c>
      <c r="F1284" t="s">
        <v>85</v>
      </c>
      <c r="G1284" s="14">
        <v>5481656</v>
      </c>
      <c r="H1284">
        <v>1465</v>
      </c>
      <c r="I1284">
        <v>3741.74</v>
      </c>
      <c r="J1284">
        <v>5481656</v>
      </c>
    </row>
    <row r="1285" spans="1:10" x14ac:dyDescent="0.25">
      <c r="A1285" t="s">
        <v>1362</v>
      </c>
      <c r="B1285" t="s">
        <v>88</v>
      </c>
      <c r="C1285" s="1">
        <v>45960</v>
      </c>
      <c r="D1285" t="s">
        <v>1372</v>
      </c>
      <c r="E1285" t="s">
        <v>136</v>
      </c>
      <c r="F1285" t="s">
        <v>135</v>
      </c>
      <c r="G1285" s="14">
        <v>846435</v>
      </c>
      <c r="H1285">
        <v>1465</v>
      </c>
      <c r="I1285">
        <v>577.77</v>
      </c>
      <c r="J1285">
        <v>1024186.35</v>
      </c>
    </row>
    <row r="1286" spans="1:10" x14ac:dyDescent="0.25">
      <c r="A1286" t="s">
        <v>483</v>
      </c>
      <c r="B1286" t="s">
        <v>88</v>
      </c>
      <c r="C1286" s="1">
        <v>45960</v>
      </c>
      <c r="D1286" t="s">
        <v>1383</v>
      </c>
      <c r="E1286" t="s">
        <v>136</v>
      </c>
      <c r="F1286" t="s">
        <v>135</v>
      </c>
      <c r="G1286" s="14">
        <v>57250</v>
      </c>
      <c r="H1286">
        <v>1465</v>
      </c>
      <c r="I1286">
        <v>39.08</v>
      </c>
      <c r="J1286">
        <v>69272.5</v>
      </c>
    </row>
    <row r="1287" spans="1:10" x14ac:dyDescent="0.25">
      <c r="A1287" t="s">
        <v>871</v>
      </c>
      <c r="B1287" t="s">
        <v>88</v>
      </c>
      <c r="C1287" s="1">
        <v>45960</v>
      </c>
      <c r="D1287" t="s">
        <v>1419</v>
      </c>
      <c r="E1287" t="s">
        <v>136</v>
      </c>
      <c r="F1287" t="s">
        <v>19</v>
      </c>
      <c r="G1287" s="14">
        <v>3115143.52</v>
      </c>
      <c r="H1287">
        <v>1465</v>
      </c>
      <c r="I1287">
        <v>2126.38</v>
      </c>
      <c r="J1287">
        <v>3769323.66</v>
      </c>
    </row>
    <row r="1288" spans="1:10" x14ac:dyDescent="0.25">
      <c r="A1288" t="s">
        <v>246</v>
      </c>
      <c r="B1288" t="s">
        <v>88</v>
      </c>
      <c r="C1288" s="1">
        <v>45959</v>
      </c>
      <c r="D1288" t="s">
        <v>1091</v>
      </c>
      <c r="E1288" t="s">
        <v>114</v>
      </c>
      <c r="F1288" t="s">
        <v>117</v>
      </c>
      <c r="G1288" s="14">
        <v>12479.8</v>
      </c>
      <c r="H1288">
        <v>1460</v>
      </c>
      <c r="I1288">
        <v>8.5500000000000007</v>
      </c>
      <c r="J1288">
        <v>15100.56</v>
      </c>
    </row>
    <row r="1289" spans="1:10" x14ac:dyDescent="0.25">
      <c r="A1289" t="s">
        <v>400</v>
      </c>
      <c r="B1289" t="s">
        <v>88</v>
      </c>
      <c r="C1289" s="1">
        <v>45959</v>
      </c>
      <c r="D1289" t="s">
        <v>1229</v>
      </c>
      <c r="E1289" t="s">
        <v>184</v>
      </c>
      <c r="F1289" t="s">
        <v>19</v>
      </c>
      <c r="G1289" s="14">
        <v>12176.68</v>
      </c>
      <c r="H1289">
        <v>1460</v>
      </c>
      <c r="I1289">
        <v>8.34</v>
      </c>
      <c r="J1289">
        <v>14733.78</v>
      </c>
    </row>
    <row r="1290" spans="1:10" x14ac:dyDescent="0.25">
      <c r="A1290" t="s">
        <v>400</v>
      </c>
      <c r="B1290" t="s">
        <v>88</v>
      </c>
      <c r="C1290" s="1">
        <v>45959</v>
      </c>
      <c r="D1290" t="s">
        <v>1229</v>
      </c>
      <c r="E1290" t="s">
        <v>184</v>
      </c>
      <c r="F1290" t="s">
        <v>8</v>
      </c>
      <c r="G1290" s="14">
        <v>136378.79999999999</v>
      </c>
      <c r="H1290">
        <v>1460</v>
      </c>
      <c r="I1290">
        <v>93.41</v>
      </c>
      <c r="J1290">
        <v>165018.35</v>
      </c>
    </row>
    <row r="1291" spans="1:10" x14ac:dyDescent="0.25">
      <c r="A1291" t="s">
        <v>400</v>
      </c>
      <c r="B1291" t="s">
        <v>88</v>
      </c>
      <c r="C1291" s="1">
        <v>45959</v>
      </c>
      <c r="D1291" t="s">
        <v>1229</v>
      </c>
      <c r="E1291" t="s">
        <v>184</v>
      </c>
      <c r="F1291" t="s">
        <v>14</v>
      </c>
      <c r="G1291" s="14">
        <v>77930.740000000005</v>
      </c>
      <c r="H1291">
        <v>1460</v>
      </c>
      <c r="I1291">
        <v>53.38</v>
      </c>
      <c r="J1291">
        <v>94296.2</v>
      </c>
    </row>
    <row r="1292" spans="1:10" x14ac:dyDescent="0.25">
      <c r="A1292" t="s">
        <v>400</v>
      </c>
      <c r="B1292" t="s">
        <v>88</v>
      </c>
      <c r="C1292" s="1">
        <v>45959</v>
      </c>
      <c r="D1292" t="s">
        <v>1229</v>
      </c>
      <c r="E1292" t="s">
        <v>184</v>
      </c>
      <c r="F1292" t="s">
        <v>135</v>
      </c>
      <c r="G1292" s="14">
        <v>17047.349999999999</v>
      </c>
      <c r="H1292">
        <v>1460</v>
      </c>
      <c r="I1292">
        <v>11.68</v>
      </c>
      <c r="J1292">
        <v>20627.29</v>
      </c>
    </row>
    <row r="1293" spans="1:10" x14ac:dyDescent="0.25">
      <c r="A1293" t="s">
        <v>132</v>
      </c>
      <c r="B1293" t="s">
        <v>88</v>
      </c>
      <c r="C1293" s="1">
        <v>45958</v>
      </c>
      <c r="D1293" t="s">
        <v>989</v>
      </c>
      <c r="E1293" t="s">
        <v>136</v>
      </c>
      <c r="F1293" t="s">
        <v>976</v>
      </c>
      <c r="G1293" s="14">
        <v>27564.799999999999</v>
      </c>
      <c r="H1293">
        <v>1495</v>
      </c>
      <c r="I1293">
        <v>18.440000000000001</v>
      </c>
      <c r="J1293">
        <v>33353.410000000003</v>
      </c>
    </row>
    <row r="1294" spans="1:10" x14ac:dyDescent="0.25">
      <c r="A1294" t="s">
        <v>316</v>
      </c>
      <c r="B1294" t="s">
        <v>88</v>
      </c>
      <c r="C1294" s="1">
        <v>45958</v>
      </c>
      <c r="D1294" t="s">
        <v>1147</v>
      </c>
      <c r="E1294" t="s">
        <v>136</v>
      </c>
      <c r="F1294" t="s">
        <v>14</v>
      </c>
      <c r="G1294" s="14">
        <v>1162758.6000000001</v>
      </c>
      <c r="H1294">
        <v>1495</v>
      </c>
      <c r="I1294">
        <v>777.76</v>
      </c>
      <c r="J1294">
        <v>1406937.91</v>
      </c>
    </row>
    <row r="1295" spans="1:10" x14ac:dyDescent="0.25">
      <c r="A1295" t="s">
        <v>367</v>
      </c>
      <c r="B1295" t="s">
        <v>88</v>
      </c>
      <c r="C1295" s="1">
        <v>45958</v>
      </c>
      <c r="D1295" t="s">
        <v>1189</v>
      </c>
      <c r="E1295" t="s">
        <v>215</v>
      </c>
      <c r="F1295" t="s">
        <v>109</v>
      </c>
      <c r="G1295" s="14">
        <v>28630.99</v>
      </c>
      <c r="H1295">
        <v>1495</v>
      </c>
      <c r="I1295">
        <v>19.149999999999999</v>
      </c>
      <c r="J1295">
        <v>34643.5</v>
      </c>
    </row>
    <row r="1296" spans="1:10" x14ac:dyDescent="0.25">
      <c r="A1296" t="s">
        <v>935</v>
      </c>
      <c r="B1296" t="s">
        <v>88</v>
      </c>
      <c r="C1296" s="1">
        <v>45957</v>
      </c>
      <c r="D1296" t="s">
        <v>941</v>
      </c>
      <c r="E1296" t="s">
        <v>136</v>
      </c>
      <c r="F1296" t="s">
        <v>8</v>
      </c>
      <c r="G1296" s="14">
        <v>2453489.56</v>
      </c>
      <c r="H1296">
        <v>1460</v>
      </c>
      <c r="I1296">
        <v>1680.47</v>
      </c>
      <c r="J1296">
        <v>2968721.92</v>
      </c>
    </row>
    <row r="1297" spans="1:10" x14ac:dyDescent="0.25">
      <c r="A1297" t="s">
        <v>161</v>
      </c>
      <c r="B1297" t="s">
        <v>88</v>
      </c>
      <c r="C1297" s="1">
        <v>45957</v>
      </c>
      <c r="D1297" t="s">
        <v>1015</v>
      </c>
      <c r="E1297" t="s">
        <v>136</v>
      </c>
      <c r="F1297" t="s">
        <v>19</v>
      </c>
      <c r="G1297" s="14">
        <v>566610</v>
      </c>
      <c r="H1297">
        <v>1460</v>
      </c>
      <c r="I1297">
        <v>388.09</v>
      </c>
      <c r="J1297">
        <v>685598.1</v>
      </c>
    </row>
    <row r="1298" spans="1:10" x14ac:dyDescent="0.25">
      <c r="A1298" t="s">
        <v>161</v>
      </c>
      <c r="B1298" t="s">
        <v>88</v>
      </c>
      <c r="C1298" s="1">
        <v>45957</v>
      </c>
      <c r="D1298" t="s">
        <v>1016</v>
      </c>
      <c r="E1298" t="s">
        <v>136</v>
      </c>
      <c r="F1298" t="s">
        <v>14</v>
      </c>
      <c r="G1298" s="14">
        <v>118170</v>
      </c>
      <c r="H1298">
        <v>1460</v>
      </c>
      <c r="I1298">
        <v>80.94</v>
      </c>
      <c r="J1298">
        <v>142985.70000000001</v>
      </c>
    </row>
    <row r="1299" spans="1:10" x14ac:dyDescent="0.25">
      <c r="A1299" t="s">
        <v>161</v>
      </c>
      <c r="B1299" t="s">
        <v>88</v>
      </c>
      <c r="C1299" s="1">
        <v>45957</v>
      </c>
      <c r="D1299" t="s">
        <v>1017</v>
      </c>
      <c r="E1299" t="s">
        <v>136</v>
      </c>
      <c r="F1299" t="s">
        <v>14</v>
      </c>
      <c r="G1299" s="14">
        <v>333254.55</v>
      </c>
      <c r="H1299">
        <v>1460</v>
      </c>
      <c r="I1299">
        <v>228.26</v>
      </c>
      <c r="J1299">
        <v>403247.55</v>
      </c>
    </row>
    <row r="1300" spans="1:10" x14ac:dyDescent="0.25">
      <c r="A1300" t="s">
        <v>161</v>
      </c>
      <c r="B1300" t="s">
        <v>88</v>
      </c>
      <c r="C1300" s="1">
        <v>45957</v>
      </c>
      <c r="D1300" t="s">
        <v>1018</v>
      </c>
      <c r="E1300" t="s">
        <v>136</v>
      </c>
      <c r="F1300" t="s">
        <v>6</v>
      </c>
      <c r="G1300" s="14">
        <v>274230.15000000002</v>
      </c>
      <c r="H1300">
        <v>1460</v>
      </c>
      <c r="I1300">
        <v>187.83</v>
      </c>
      <c r="J1300">
        <v>331818.48</v>
      </c>
    </row>
    <row r="1301" spans="1:10" x14ac:dyDescent="0.25">
      <c r="A1301" t="s">
        <v>161</v>
      </c>
      <c r="B1301" t="s">
        <v>88</v>
      </c>
      <c r="C1301" s="1">
        <v>45957</v>
      </c>
      <c r="D1301" t="s">
        <v>1019</v>
      </c>
      <c r="E1301" t="s">
        <v>136</v>
      </c>
      <c r="F1301" t="s">
        <v>6</v>
      </c>
      <c r="G1301" s="14">
        <v>118442.7</v>
      </c>
      <c r="H1301">
        <v>1460</v>
      </c>
      <c r="I1301">
        <v>81.13</v>
      </c>
      <c r="J1301">
        <v>143319</v>
      </c>
    </row>
    <row r="1302" spans="1:10" x14ac:dyDescent="0.25">
      <c r="A1302" t="s">
        <v>316</v>
      </c>
      <c r="B1302" t="s">
        <v>88</v>
      </c>
      <c r="C1302" s="1">
        <v>45957</v>
      </c>
      <c r="D1302" t="s">
        <v>1145</v>
      </c>
      <c r="E1302" t="s">
        <v>136</v>
      </c>
      <c r="F1302" t="s">
        <v>14</v>
      </c>
      <c r="G1302" s="14">
        <v>598364.4</v>
      </c>
      <c r="H1302">
        <v>1460</v>
      </c>
      <c r="I1302">
        <v>409.84</v>
      </c>
      <c r="J1302">
        <v>724020.92</v>
      </c>
    </row>
    <row r="1303" spans="1:10" x14ac:dyDescent="0.25">
      <c r="A1303" t="s">
        <v>443</v>
      </c>
      <c r="B1303" t="s">
        <v>88</v>
      </c>
      <c r="C1303" s="1">
        <v>45957</v>
      </c>
      <c r="D1303" t="s">
        <v>1317</v>
      </c>
      <c r="E1303" t="s">
        <v>90</v>
      </c>
      <c r="F1303" t="s">
        <v>91</v>
      </c>
      <c r="G1303" s="14">
        <v>48337.53</v>
      </c>
      <c r="H1303">
        <v>1460</v>
      </c>
      <c r="I1303">
        <v>33.11</v>
      </c>
      <c r="J1303">
        <v>58488.42</v>
      </c>
    </row>
    <row r="1304" spans="1:10" x14ac:dyDescent="0.25">
      <c r="A1304" t="s">
        <v>443</v>
      </c>
      <c r="B1304" t="s">
        <v>88</v>
      </c>
      <c r="C1304" s="1">
        <v>45957</v>
      </c>
      <c r="D1304" t="s">
        <v>1317</v>
      </c>
      <c r="E1304" t="s">
        <v>92</v>
      </c>
      <c r="F1304" t="s">
        <v>91</v>
      </c>
      <c r="G1304" s="14">
        <v>9243.51</v>
      </c>
      <c r="H1304">
        <v>1460</v>
      </c>
      <c r="I1304">
        <v>6.33</v>
      </c>
      <c r="J1304">
        <v>9243.51</v>
      </c>
    </row>
    <row r="1305" spans="1:10" x14ac:dyDescent="0.25">
      <c r="A1305" t="s">
        <v>443</v>
      </c>
      <c r="B1305" t="s">
        <v>88</v>
      </c>
      <c r="C1305" s="1">
        <v>45957</v>
      </c>
      <c r="D1305" t="s">
        <v>1318</v>
      </c>
      <c r="E1305" t="s">
        <v>90</v>
      </c>
      <c r="F1305" t="s">
        <v>91</v>
      </c>
      <c r="G1305" s="14">
        <v>37569.49</v>
      </c>
      <c r="H1305">
        <v>1460</v>
      </c>
      <c r="I1305">
        <v>25.73</v>
      </c>
      <c r="J1305">
        <v>45459.09</v>
      </c>
    </row>
    <row r="1306" spans="1:10" x14ac:dyDescent="0.25">
      <c r="A1306" t="s">
        <v>443</v>
      </c>
      <c r="B1306" t="s">
        <v>88</v>
      </c>
      <c r="C1306" s="1">
        <v>45957</v>
      </c>
      <c r="D1306" t="s">
        <v>1318</v>
      </c>
      <c r="E1306" t="s">
        <v>92</v>
      </c>
      <c r="F1306" t="s">
        <v>91</v>
      </c>
      <c r="G1306" s="14">
        <v>7562.89</v>
      </c>
      <c r="H1306">
        <v>1460</v>
      </c>
      <c r="I1306">
        <v>5.18</v>
      </c>
      <c r="J1306">
        <v>7562.89</v>
      </c>
    </row>
    <row r="1307" spans="1:10" x14ac:dyDescent="0.25">
      <c r="A1307" t="s">
        <v>443</v>
      </c>
      <c r="B1307" t="s">
        <v>88</v>
      </c>
      <c r="C1307" s="1">
        <v>45955</v>
      </c>
      <c r="D1307" t="s">
        <v>1316</v>
      </c>
      <c r="E1307" t="s">
        <v>90</v>
      </c>
      <c r="F1307" t="s">
        <v>91</v>
      </c>
      <c r="G1307" s="14">
        <v>53169.65</v>
      </c>
      <c r="H1307">
        <v>1515</v>
      </c>
      <c r="I1307">
        <v>35.1</v>
      </c>
      <c r="J1307">
        <v>64335.29</v>
      </c>
    </row>
    <row r="1308" spans="1:10" x14ac:dyDescent="0.25">
      <c r="A1308" t="s">
        <v>443</v>
      </c>
      <c r="B1308" t="s">
        <v>88</v>
      </c>
      <c r="C1308" s="1">
        <v>45955</v>
      </c>
      <c r="D1308" t="s">
        <v>1316</v>
      </c>
      <c r="E1308" t="s">
        <v>92</v>
      </c>
      <c r="F1308" t="s">
        <v>91</v>
      </c>
      <c r="G1308" s="14">
        <v>11686.8</v>
      </c>
      <c r="H1308">
        <v>1515</v>
      </c>
      <c r="I1308">
        <v>7.71</v>
      </c>
      <c r="J1308">
        <v>11686.8</v>
      </c>
    </row>
    <row r="1309" spans="1:10" x14ac:dyDescent="0.25">
      <c r="A1309" t="s">
        <v>935</v>
      </c>
      <c r="B1309" t="s">
        <v>88</v>
      </c>
      <c r="C1309" s="1">
        <v>45954</v>
      </c>
      <c r="D1309" t="s">
        <v>939</v>
      </c>
      <c r="E1309" t="s">
        <v>134</v>
      </c>
      <c r="F1309" t="s">
        <v>8</v>
      </c>
      <c r="G1309" s="14">
        <v>2824180.08</v>
      </c>
      <c r="H1309">
        <v>1515</v>
      </c>
      <c r="I1309">
        <v>1864.15</v>
      </c>
      <c r="J1309">
        <v>3120718.98</v>
      </c>
    </row>
    <row r="1310" spans="1:10" x14ac:dyDescent="0.25">
      <c r="A1310" t="s">
        <v>935</v>
      </c>
      <c r="B1310" t="s">
        <v>88</v>
      </c>
      <c r="C1310" s="1">
        <v>45954</v>
      </c>
      <c r="D1310" t="s">
        <v>939</v>
      </c>
      <c r="E1310" t="s">
        <v>136</v>
      </c>
      <c r="F1310" t="s">
        <v>8</v>
      </c>
      <c r="G1310" s="14">
        <v>7053558.0599999996</v>
      </c>
      <c r="H1310">
        <v>1515</v>
      </c>
      <c r="I1310">
        <v>4655.8100000000004</v>
      </c>
      <c r="J1310">
        <v>8534821.5299999993</v>
      </c>
    </row>
    <row r="1311" spans="1:10" x14ac:dyDescent="0.25">
      <c r="A1311" t="s">
        <v>935</v>
      </c>
      <c r="B1311" t="s">
        <v>88</v>
      </c>
      <c r="C1311" s="1">
        <v>45954</v>
      </c>
      <c r="D1311" t="s">
        <v>940</v>
      </c>
      <c r="E1311" t="s">
        <v>136</v>
      </c>
      <c r="F1311" t="s">
        <v>6</v>
      </c>
      <c r="G1311" s="14">
        <v>6032604.3600000003</v>
      </c>
      <c r="H1311">
        <v>1515</v>
      </c>
      <c r="I1311">
        <v>3981.92</v>
      </c>
      <c r="J1311">
        <v>7299456.5999999996</v>
      </c>
    </row>
    <row r="1312" spans="1:10" x14ac:dyDescent="0.25">
      <c r="A1312" t="s">
        <v>515</v>
      </c>
      <c r="B1312" t="s">
        <v>88</v>
      </c>
      <c r="C1312" s="1">
        <v>45954</v>
      </c>
      <c r="D1312" t="s">
        <v>1463</v>
      </c>
      <c r="E1312" t="s">
        <v>184</v>
      </c>
      <c r="F1312" t="s">
        <v>14</v>
      </c>
      <c r="G1312" s="14">
        <v>25324</v>
      </c>
      <c r="H1312">
        <v>1515</v>
      </c>
      <c r="I1312">
        <v>16.72</v>
      </c>
      <c r="J1312">
        <v>30642.04</v>
      </c>
    </row>
    <row r="1313" spans="1:10" x14ac:dyDescent="0.25">
      <c r="A1313" t="s">
        <v>1251</v>
      </c>
      <c r="B1313" t="s">
        <v>88</v>
      </c>
      <c r="C1313" s="1">
        <v>45953</v>
      </c>
      <c r="D1313" t="s">
        <v>1260</v>
      </c>
      <c r="E1313" t="s">
        <v>136</v>
      </c>
      <c r="F1313" t="s">
        <v>17</v>
      </c>
      <c r="G1313" s="14">
        <v>17132.990000000002</v>
      </c>
      <c r="H1313">
        <v>1505</v>
      </c>
      <c r="I1313">
        <v>11.38</v>
      </c>
      <c r="J1313">
        <v>20730.91</v>
      </c>
    </row>
    <row r="1314" spans="1:10" x14ac:dyDescent="0.25">
      <c r="A1314" t="s">
        <v>515</v>
      </c>
      <c r="B1314" t="s">
        <v>88</v>
      </c>
      <c r="C1314" s="1">
        <v>45953</v>
      </c>
      <c r="D1314" t="s">
        <v>1462</v>
      </c>
      <c r="E1314" t="s">
        <v>184</v>
      </c>
      <c r="F1314" t="s">
        <v>135</v>
      </c>
      <c r="G1314" s="14">
        <v>92684</v>
      </c>
      <c r="H1314">
        <v>1505</v>
      </c>
      <c r="I1314">
        <v>61.58</v>
      </c>
      <c r="J1314">
        <v>112147.64</v>
      </c>
    </row>
    <row r="1315" spans="1:10" x14ac:dyDescent="0.25">
      <c r="A1315" t="s">
        <v>343</v>
      </c>
      <c r="B1315" t="s">
        <v>88</v>
      </c>
      <c r="C1315" s="1">
        <v>45952</v>
      </c>
      <c r="D1315" t="s">
        <v>1166</v>
      </c>
      <c r="E1315" t="s">
        <v>136</v>
      </c>
      <c r="F1315" t="s">
        <v>135</v>
      </c>
      <c r="G1315" s="14">
        <v>13494.37</v>
      </c>
      <c r="H1315">
        <v>1515</v>
      </c>
      <c r="I1315">
        <v>8.91</v>
      </c>
      <c r="J1315">
        <v>16328.19</v>
      </c>
    </row>
    <row r="1316" spans="1:10" x14ac:dyDescent="0.25">
      <c r="A1316" t="s">
        <v>1251</v>
      </c>
      <c r="B1316" t="s">
        <v>88</v>
      </c>
      <c r="C1316" s="1">
        <v>45952</v>
      </c>
      <c r="D1316" t="s">
        <v>1259</v>
      </c>
      <c r="E1316" t="s">
        <v>136</v>
      </c>
      <c r="F1316" t="s">
        <v>17</v>
      </c>
      <c r="G1316" s="14">
        <v>9040.82</v>
      </c>
      <c r="H1316">
        <v>1515</v>
      </c>
      <c r="I1316">
        <v>5.97</v>
      </c>
      <c r="J1316">
        <v>10939.39</v>
      </c>
    </row>
    <row r="1317" spans="1:10" x14ac:dyDescent="0.25">
      <c r="A1317" t="s">
        <v>1362</v>
      </c>
      <c r="B1317" t="s">
        <v>530</v>
      </c>
      <c r="C1317" s="1">
        <v>45952</v>
      </c>
      <c r="D1317" t="s">
        <v>1375</v>
      </c>
      <c r="E1317" t="s">
        <v>944</v>
      </c>
      <c r="F1317" t="s">
        <v>945</v>
      </c>
      <c r="G1317" s="14">
        <v>92195.17</v>
      </c>
      <c r="H1317">
        <v>1515</v>
      </c>
      <c r="I1317">
        <v>60.85</v>
      </c>
      <c r="J1317">
        <v>111556.16</v>
      </c>
    </row>
    <row r="1318" spans="1:10" x14ac:dyDescent="0.25">
      <c r="A1318" t="s">
        <v>515</v>
      </c>
      <c r="B1318" t="s">
        <v>88</v>
      </c>
      <c r="C1318" s="1">
        <v>45952</v>
      </c>
      <c r="D1318" t="s">
        <v>1460</v>
      </c>
      <c r="E1318" t="s">
        <v>184</v>
      </c>
      <c r="F1318" t="s">
        <v>14</v>
      </c>
      <c r="G1318" s="14">
        <v>16136</v>
      </c>
      <c r="H1318">
        <v>1515</v>
      </c>
      <c r="I1318">
        <v>10.65</v>
      </c>
      <c r="J1318">
        <v>19524.560000000001</v>
      </c>
    </row>
    <row r="1319" spans="1:10" x14ac:dyDescent="0.25">
      <c r="A1319" t="s">
        <v>935</v>
      </c>
      <c r="B1319" t="s">
        <v>530</v>
      </c>
      <c r="C1319" s="1">
        <v>45951</v>
      </c>
      <c r="D1319" t="s">
        <v>943</v>
      </c>
      <c r="E1319" t="s">
        <v>944</v>
      </c>
      <c r="F1319" t="s">
        <v>945</v>
      </c>
      <c r="G1319" s="14">
        <v>129337.82</v>
      </c>
      <c r="H1319">
        <v>1515</v>
      </c>
      <c r="I1319">
        <v>85.37</v>
      </c>
      <c r="J1319">
        <v>156498.76</v>
      </c>
    </row>
    <row r="1320" spans="1:10" x14ac:dyDescent="0.25">
      <c r="A1320" t="s">
        <v>182</v>
      </c>
      <c r="B1320" t="s">
        <v>88</v>
      </c>
      <c r="C1320" s="1">
        <v>45951</v>
      </c>
      <c r="D1320" t="s">
        <v>1037</v>
      </c>
      <c r="E1320" t="s">
        <v>184</v>
      </c>
      <c r="F1320" t="s">
        <v>19</v>
      </c>
      <c r="G1320" s="14">
        <v>15000</v>
      </c>
      <c r="H1320">
        <v>1515</v>
      </c>
      <c r="I1320">
        <v>9.9</v>
      </c>
      <c r="J1320">
        <v>18150</v>
      </c>
    </row>
    <row r="1321" spans="1:10" x14ac:dyDescent="0.25">
      <c r="A1321" t="s">
        <v>246</v>
      </c>
      <c r="B1321" t="s">
        <v>88</v>
      </c>
      <c r="C1321" s="1">
        <v>45951</v>
      </c>
      <c r="D1321" t="s">
        <v>1083</v>
      </c>
      <c r="E1321" t="s">
        <v>114</v>
      </c>
      <c r="F1321" t="s">
        <v>117</v>
      </c>
      <c r="G1321" s="14">
        <v>6239.89</v>
      </c>
      <c r="H1321">
        <v>1515</v>
      </c>
      <c r="I1321">
        <v>4.12</v>
      </c>
      <c r="J1321">
        <v>7550.26</v>
      </c>
    </row>
    <row r="1322" spans="1:10" x14ac:dyDescent="0.25">
      <c r="A1322" t="s">
        <v>426</v>
      </c>
      <c r="B1322" t="s">
        <v>88</v>
      </c>
      <c r="C1322" s="1">
        <v>45951</v>
      </c>
      <c r="D1322" t="s">
        <v>1284</v>
      </c>
      <c r="E1322" t="s">
        <v>136</v>
      </c>
      <c r="F1322" t="s">
        <v>135</v>
      </c>
      <c r="G1322" s="14">
        <v>1971593.28</v>
      </c>
      <c r="H1322">
        <v>1515</v>
      </c>
      <c r="I1322">
        <v>1301.3800000000001</v>
      </c>
      <c r="J1322">
        <v>2385627.87</v>
      </c>
    </row>
    <row r="1323" spans="1:10" x14ac:dyDescent="0.25">
      <c r="A1323" t="s">
        <v>426</v>
      </c>
      <c r="B1323" t="s">
        <v>88</v>
      </c>
      <c r="C1323" s="1">
        <v>45951</v>
      </c>
      <c r="D1323" t="s">
        <v>1285</v>
      </c>
      <c r="E1323" t="s">
        <v>136</v>
      </c>
      <c r="F1323" t="s">
        <v>14</v>
      </c>
      <c r="G1323" s="14">
        <v>487560.31</v>
      </c>
      <c r="H1323">
        <v>1515</v>
      </c>
      <c r="I1323">
        <v>321.82</v>
      </c>
      <c r="J1323">
        <v>589947.98</v>
      </c>
    </row>
    <row r="1324" spans="1:10" x14ac:dyDescent="0.25">
      <c r="A1324" t="s">
        <v>497</v>
      </c>
      <c r="B1324" t="s">
        <v>88</v>
      </c>
      <c r="C1324" s="1">
        <v>45951</v>
      </c>
      <c r="D1324" t="s">
        <v>1401</v>
      </c>
      <c r="E1324" t="s">
        <v>136</v>
      </c>
      <c r="F1324" t="s">
        <v>14</v>
      </c>
      <c r="G1324" s="14">
        <v>175883.4</v>
      </c>
      <c r="H1324">
        <v>1515</v>
      </c>
      <c r="I1324">
        <v>116.09</v>
      </c>
      <c r="J1324">
        <v>212818.91</v>
      </c>
    </row>
    <row r="1325" spans="1:10" x14ac:dyDescent="0.25">
      <c r="A1325" t="s">
        <v>515</v>
      </c>
      <c r="B1325" t="s">
        <v>88</v>
      </c>
      <c r="C1325" s="1">
        <v>45951</v>
      </c>
      <c r="D1325" t="s">
        <v>1457</v>
      </c>
      <c r="E1325" t="s">
        <v>184</v>
      </c>
      <c r="F1325" t="s">
        <v>19</v>
      </c>
      <c r="G1325" s="14">
        <v>23206.36</v>
      </c>
      <c r="H1325">
        <v>1515</v>
      </c>
      <c r="I1325">
        <v>15.32</v>
      </c>
      <c r="J1325">
        <v>28079.7</v>
      </c>
    </row>
    <row r="1326" spans="1:10" x14ac:dyDescent="0.25">
      <c r="A1326" t="s">
        <v>515</v>
      </c>
      <c r="B1326" t="s">
        <v>88</v>
      </c>
      <c r="C1326" s="1">
        <v>45951</v>
      </c>
      <c r="D1326" t="s">
        <v>1457</v>
      </c>
      <c r="E1326" t="s">
        <v>184</v>
      </c>
      <c r="F1326" t="s">
        <v>14</v>
      </c>
      <c r="G1326" s="14">
        <v>45047.64</v>
      </c>
      <c r="H1326">
        <v>1515</v>
      </c>
      <c r="I1326">
        <v>29.73</v>
      </c>
      <c r="J1326">
        <v>54507.64</v>
      </c>
    </row>
    <row r="1327" spans="1:10" x14ac:dyDescent="0.25">
      <c r="A1327" t="s">
        <v>400</v>
      </c>
      <c r="B1327" t="s">
        <v>88</v>
      </c>
      <c r="C1327" s="1">
        <v>45950</v>
      </c>
      <c r="D1327" t="s">
        <v>1225</v>
      </c>
      <c r="E1327" t="s">
        <v>184</v>
      </c>
      <c r="F1327" t="s">
        <v>8</v>
      </c>
      <c r="G1327" s="14">
        <v>52089.3</v>
      </c>
      <c r="H1327">
        <v>1495</v>
      </c>
      <c r="I1327">
        <v>34.840000000000003</v>
      </c>
      <c r="J1327">
        <v>63028.05</v>
      </c>
    </row>
    <row r="1328" spans="1:10" x14ac:dyDescent="0.25">
      <c r="A1328" t="s">
        <v>400</v>
      </c>
      <c r="B1328" t="s">
        <v>88</v>
      </c>
      <c r="C1328" s="1">
        <v>45950</v>
      </c>
      <c r="D1328" t="s">
        <v>1225</v>
      </c>
      <c r="E1328" t="s">
        <v>184</v>
      </c>
      <c r="F1328" t="s">
        <v>135</v>
      </c>
      <c r="G1328" s="14">
        <v>110689.75</v>
      </c>
      <c r="H1328">
        <v>1495</v>
      </c>
      <c r="I1328">
        <v>74.040000000000006</v>
      </c>
      <c r="J1328">
        <v>133934.6</v>
      </c>
    </row>
    <row r="1329" spans="1:10" x14ac:dyDescent="0.25">
      <c r="A1329" t="s">
        <v>552</v>
      </c>
      <c r="B1329" t="s">
        <v>88</v>
      </c>
      <c r="C1329" s="1">
        <v>45950</v>
      </c>
      <c r="D1329" t="s">
        <v>1504</v>
      </c>
      <c r="E1329" t="s">
        <v>136</v>
      </c>
      <c r="F1329" t="s">
        <v>6</v>
      </c>
      <c r="G1329" s="14">
        <v>5411929.9000000004</v>
      </c>
      <c r="H1329">
        <v>1495</v>
      </c>
      <c r="I1329">
        <v>3620.02</v>
      </c>
      <c r="J1329">
        <v>6548428.9000000004</v>
      </c>
    </row>
    <row r="1330" spans="1:10" x14ac:dyDescent="0.25">
      <c r="A1330" t="s">
        <v>935</v>
      </c>
      <c r="B1330" t="s">
        <v>88</v>
      </c>
      <c r="C1330" s="1">
        <v>45947</v>
      </c>
      <c r="D1330" t="s">
        <v>938</v>
      </c>
      <c r="E1330" t="s">
        <v>136</v>
      </c>
      <c r="F1330" t="s">
        <v>8</v>
      </c>
      <c r="G1330" s="14">
        <v>326974.44</v>
      </c>
      <c r="H1330">
        <v>1475</v>
      </c>
      <c r="I1330">
        <v>221.68</v>
      </c>
      <c r="J1330">
        <v>395644.4</v>
      </c>
    </row>
    <row r="1331" spans="1:10" x14ac:dyDescent="0.25">
      <c r="A1331" t="s">
        <v>426</v>
      </c>
      <c r="B1331" t="s">
        <v>88</v>
      </c>
      <c r="C1331" s="1">
        <v>45947</v>
      </c>
      <c r="D1331" t="s">
        <v>1274</v>
      </c>
      <c r="E1331" t="s">
        <v>134</v>
      </c>
      <c r="F1331" t="s">
        <v>19</v>
      </c>
      <c r="G1331" s="14">
        <v>21223.14</v>
      </c>
      <c r="H1331">
        <v>1475</v>
      </c>
      <c r="I1331">
        <v>14.39</v>
      </c>
      <c r="J1331">
        <v>23451.57</v>
      </c>
    </row>
    <row r="1332" spans="1:10" x14ac:dyDescent="0.25">
      <c r="A1332" t="s">
        <v>426</v>
      </c>
      <c r="B1332" t="s">
        <v>88</v>
      </c>
      <c r="C1332" s="1">
        <v>45947</v>
      </c>
      <c r="D1332" t="s">
        <v>1274</v>
      </c>
      <c r="E1332" t="s">
        <v>136</v>
      </c>
      <c r="F1332" t="s">
        <v>19</v>
      </c>
      <c r="G1332" s="14">
        <v>1410918.91</v>
      </c>
      <c r="H1332">
        <v>1475</v>
      </c>
      <c r="I1332">
        <v>956.56</v>
      </c>
      <c r="J1332">
        <v>1707211.88</v>
      </c>
    </row>
    <row r="1333" spans="1:10" hidden="1" x14ac:dyDescent="0.25">
      <c r="A1333" t="s">
        <v>125</v>
      </c>
      <c r="B1333" t="s">
        <v>88</v>
      </c>
      <c r="C1333" s="1">
        <v>45930</v>
      </c>
      <c r="D1333" t="s">
        <v>968</v>
      </c>
      <c r="E1333" t="s">
        <v>114</v>
      </c>
      <c r="F1333" t="s">
        <v>117</v>
      </c>
      <c r="G1333" s="14">
        <v>5668.7</v>
      </c>
      <c r="H1333">
        <v>1400</v>
      </c>
      <c r="I1333">
        <v>4.05</v>
      </c>
      <c r="J1333">
        <v>6859.13</v>
      </c>
    </row>
    <row r="1334" spans="1:10" hidden="1" x14ac:dyDescent="0.25">
      <c r="A1334" t="s">
        <v>125</v>
      </c>
      <c r="B1334" t="s">
        <v>88</v>
      </c>
      <c r="C1334" s="1">
        <v>45930</v>
      </c>
      <c r="D1334" t="s">
        <v>968</v>
      </c>
      <c r="E1334" t="s">
        <v>127</v>
      </c>
      <c r="F1334" t="s">
        <v>117</v>
      </c>
      <c r="G1334" s="14">
        <v>566.87</v>
      </c>
      <c r="H1334">
        <v>1400</v>
      </c>
      <c r="I1334">
        <v>0.4</v>
      </c>
      <c r="J1334">
        <v>566.87</v>
      </c>
    </row>
    <row r="1335" spans="1:10" hidden="1" x14ac:dyDescent="0.25">
      <c r="A1335" t="s">
        <v>182</v>
      </c>
      <c r="B1335" t="s">
        <v>88</v>
      </c>
      <c r="C1335" s="1">
        <v>45930</v>
      </c>
      <c r="D1335" t="s">
        <v>1043</v>
      </c>
      <c r="E1335" t="s">
        <v>184</v>
      </c>
      <c r="G1335" s="14">
        <v>217340.06</v>
      </c>
      <c r="H1335">
        <v>1400</v>
      </c>
      <c r="I1335">
        <v>155.24</v>
      </c>
      <c r="J1335">
        <v>262981.46999999997</v>
      </c>
    </row>
    <row r="1336" spans="1:10" hidden="1" x14ac:dyDescent="0.25">
      <c r="A1336" t="s">
        <v>182</v>
      </c>
      <c r="B1336" t="s">
        <v>199</v>
      </c>
      <c r="C1336" s="1">
        <v>45930</v>
      </c>
      <c r="D1336" t="s">
        <v>1046</v>
      </c>
      <c r="E1336" t="s">
        <v>184</v>
      </c>
      <c r="G1336" s="14">
        <v>-217340.06</v>
      </c>
      <c r="H1336">
        <v>1400</v>
      </c>
      <c r="I1336">
        <v>-155.24</v>
      </c>
      <c r="J1336">
        <v>-262981.46999999997</v>
      </c>
    </row>
    <row r="1337" spans="1:10" hidden="1" x14ac:dyDescent="0.25">
      <c r="A1337" t="s">
        <v>1128</v>
      </c>
      <c r="B1337" t="s">
        <v>88</v>
      </c>
      <c r="C1337" s="1">
        <v>45930</v>
      </c>
      <c r="D1337" t="s">
        <v>1129</v>
      </c>
      <c r="E1337" t="s">
        <v>136</v>
      </c>
      <c r="F1337" t="s">
        <v>17</v>
      </c>
      <c r="G1337" s="14">
        <v>40545.449999999997</v>
      </c>
      <c r="H1337">
        <v>1400</v>
      </c>
      <c r="I1337">
        <v>28.96</v>
      </c>
      <c r="J1337">
        <v>49059.99</v>
      </c>
    </row>
    <row r="1338" spans="1:10" hidden="1" x14ac:dyDescent="0.25">
      <c r="A1338" t="s">
        <v>349</v>
      </c>
      <c r="B1338" t="s">
        <v>96</v>
      </c>
      <c r="C1338" s="1">
        <v>45930</v>
      </c>
      <c r="D1338" t="s">
        <v>1173</v>
      </c>
      <c r="E1338" t="s">
        <v>102</v>
      </c>
      <c r="F1338" t="s">
        <v>109</v>
      </c>
      <c r="G1338" s="14">
        <v>170215.2</v>
      </c>
      <c r="H1338">
        <v>1400</v>
      </c>
      <c r="I1338">
        <v>121.58</v>
      </c>
      <c r="J1338">
        <v>170215.2</v>
      </c>
    </row>
    <row r="1339" spans="1:10" hidden="1" x14ac:dyDescent="0.25">
      <c r="A1339" t="s">
        <v>1193</v>
      </c>
      <c r="B1339" t="s">
        <v>88</v>
      </c>
      <c r="C1339" s="1">
        <v>45930</v>
      </c>
      <c r="D1339" t="s">
        <v>1195</v>
      </c>
      <c r="E1339" t="s">
        <v>136</v>
      </c>
      <c r="F1339" t="s">
        <v>8</v>
      </c>
      <c r="G1339" s="14">
        <v>166814.39999999999</v>
      </c>
      <c r="H1339">
        <v>1400</v>
      </c>
      <c r="I1339">
        <v>119.15</v>
      </c>
      <c r="J1339">
        <v>201845.42</v>
      </c>
    </row>
    <row r="1340" spans="1:10" hidden="1" x14ac:dyDescent="0.25">
      <c r="A1340" t="s">
        <v>436</v>
      </c>
      <c r="B1340" t="s">
        <v>88</v>
      </c>
      <c r="C1340" s="1">
        <v>45930</v>
      </c>
      <c r="D1340" t="s">
        <v>1293</v>
      </c>
      <c r="E1340" t="s">
        <v>205</v>
      </c>
      <c r="F1340" t="s">
        <v>206</v>
      </c>
      <c r="G1340" s="14">
        <v>107927.82</v>
      </c>
      <c r="H1340">
        <v>1400</v>
      </c>
      <c r="I1340">
        <v>77.09</v>
      </c>
      <c r="J1340">
        <v>130592.66</v>
      </c>
    </row>
    <row r="1341" spans="1:10" hidden="1" x14ac:dyDescent="0.25">
      <c r="A1341" t="s">
        <v>443</v>
      </c>
      <c r="B1341" t="s">
        <v>88</v>
      </c>
      <c r="C1341" s="1">
        <v>45930</v>
      </c>
      <c r="D1341" t="s">
        <v>1319</v>
      </c>
      <c r="E1341" t="s">
        <v>90</v>
      </c>
      <c r="F1341" t="s">
        <v>91</v>
      </c>
      <c r="G1341" s="14">
        <v>38185.25</v>
      </c>
      <c r="H1341">
        <v>1400</v>
      </c>
      <c r="I1341">
        <v>27.28</v>
      </c>
      <c r="J1341">
        <v>46204.160000000003</v>
      </c>
    </row>
    <row r="1342" spans="1:10" hidden="1" x14ac:dyDescent="0.25">
      <c r="A1342" t="s">
        <v>443</v>
      </c>
      <c r="B1342" t="s">
        <v>88</v>
      </c>
      <c r="C1342" s="1">
        <v>45930</v>
      </c>
      <c r="D1342" t="s">
        <v>1319</v>
      </c>
      <c r="E1342" t="s">
        <v>92</v>
      </c>
      <c r="F1342" t="s">
        <v>91</v>
      </c>
      <c r="G1342" s="14">
        <v>7801.83</v>
      </c>
      <c r="H1342">
        <v>1400</v>
      </c>
      <c r="I1342">
        <v>5.57</v>
      </c>
      <c r="J1342">
        <v>7801.83</v>
      </c>
    </row>
    <row r="1343" spans="1:10" hidden="1" x14ac:dyDescent="0.25">
      <c r="A1343" t="s">
        <v>935</v>
      </c>
      <c r="B1343" t="s">
        <v>88</v>
      </c>
      <c r="C1343" s="1">
        <v>45929</v>
      </c>
      <c r="D1343" t="s">
        <v>942</v>
      </c>
      <c r="E1343" t="s">
        <v>136</v>
      </c>
      <c r="F1343" t="s">
        <v>6</v>
      </c>
      <c r="G1343" s="14">
        <v>1173443.7</v>
      </c>
      <c r="H1343">
        <v>1380</v>
      </c>
      <c r="I1343">
        <v>850.32</v>
      </c>
      <c r="J1343">
        <v>1419867.54</v>
      </c>
    </row>
    <row r="1344" spans="1:10" hidden="1" x14ac:dyDescent="0.25">
      <c r="A1344" t="s">
        <v>246</v>
      </c>
      <c r="B1344" t="s">
        <v>88</v>
      </c>
      <c r="C1344" s="1">
        <v>45929</v>
      </c>
      <c r="D1344" t="s">
        <v>1090</v>
      </c>
      <c r="E1344" t="s">
        <v>114</v>
      </c>
      <c r="F1344" t="s">
        <v>117</v>
      </c>
      <c r="G1344" s="14">
        <v>23919.66</v>
      </c>
      <c r="H1344">
        <v>1380</v>
      </c>
      <c r="I1344">
        <v>17.329999999999998</v>
      </c>
      <c r="J1344">
        <v>28942.79</v>
      </c>
    </row>
    <row r="1345" spans="1:10" hidden="1" x14ac:dyDescent="0.25">
      <c r="A1345" t="s">
        <v>1413</v>
      </c>
      <c r="B1345" t="s">
        <v>96</v>
      </c>
      <c r="C1345" s="1">
        <v>45929</v>
      </c>
      <c r="D1345" t="s">
        <v>1416</v>
      </c>
      <c r="E1345" t="s">
        <v>1412</v>
      </c>
      <c r="G1345" s="14">
        <v>5258587</v>
      </c>
      <c r="H1345">
        <v>1380</v>
      </c>
      <c r="I1345">
        <v>3810.57</v>
      </c>
      <c r="J1345">
        <v>5258587</v>
      </c>
    </row>
    <row r="1346" spans="1:10" hidden="1" x14ac:dyDescent="0.25">
      <c r="A1346" t="s">
        <v>521</v>
      </c>
      <c r="B1346" t="s">
        <v>88</v>
      </c>
      <c r="C1346" s="1">
        <v>45929</v>
      </c>
      <c r="D1346" t="s">
        <v>1468</v>
      </c>
      <c r="E1346" t="s">
        <v>136</v>
      </c>
      <c r="F1346" t="s">
        <v>135</v>
      </c>
      <c r="G1346" s="14">
        <v>16000</v>
      </c>
      <c r="H1346">
        <v>1380</v>
      </c>
      <c r="I1346">
        <v>11.59</v>
      </c>
      <c r="J1346">
        <v>19360</v>
      </c>
    </row>
    <row r="1347" spans="1:10" hidden="1" x14ac:dyDescent="0.25">
      <c r="A1347" t="s">
        <v>182</v>
      </c>
      <c r="B1347" t="s">
        <v>88</v>
      </c>
      <c r="C1347" s="1">
        <v>45926</v>
      </c>
      <c r="D1347" t="s">
        <v>1039</v>
      </c>
      <c r="E1347" t="s">
        <v>184</v>
      </c>
      <c r="F1347" t="s">
        <v>135</v>
      </c>
      <c r="G1347" s="14">
        <v>11561.51</v>
      </c>
      <c r="H1347">
        <v>1350</v>
      </c>
      <c r="I1347">
        <v>8.56</v>
      </c>
      <c r="J1347">
        <v>13989.43</v>
      </c>
    </row>
    <row r="1348" spans="1:10" hidden="1" x14ac:dyDescent="0.25">
      <c r="A1348" t="s">
        <v>361</v>
      </c>
      <c r="B1348" t="s">
        <v>88</v>
      </c>
      <c r="C1348" s="1">
        <v>45926</v>
      </c>
      <c r="D1348" t="s">
        <v>1180</v>
      </c>
      <c r="E1348" t="s">
        <v>136</v>
      </c>
      <c r="F1348" t="s">
        <v>14</v>
      </c>
      <c r="G1348" s="14">
        <v>51786.53</v>
      </c>
      <c r="H1348">
        <v>1350</v>
      </c>
      <c r="I1348">
        <v>38.36</v>
      </c>
      <c r="J1348">
        <v>62661.7</v>
      </c>
    </row>
    <row r="1349" spans="1:10" hidden="1" x14ac:dyDescent="0.25">
      <c r="A1349" t="s">
        <v>466</v>
      </c>
      <c r="B1349" t="s">
        <v>88</v>
      </c>
      <c r="C1349" s="1">
        <v>45926</v>
      </c>
      <c r="D1349" t="s">
        <v>1342</v>
      </c>
      <c r="E1349" t="s">
        <v>1343</v>
      </c>
      <c r="F1349" t="s">
        <v>135</v>
      </c>
      <c r="G1349" s="14">
        <v>651644</v>
      </c>
      <c r="H1349">
        <v>1350</v>
      </c>
      <c r="I1349">
        <v>482.7</v>
      </c>
      <c r="J1349">
        <v>788489.24</v>
      </c>
    </row>
    <row r="1350" spans="1:10" hidden="1" x14ac:dyDescent="0.25">
      <c r="A1350" t="s">
        <v>466</v>
      </c>
      <c r="B1350" t="s">
        <v>88</v>
      </c>
      <c r="C1350" s="1">
        <v>45926</v>
      </c>
      <c r="D1350" t="s">
        <v>1344</v>
      </c>
      <c r="E1350" t="s">
        <v>136</v>
      </c>
      <c r="F1350" t="s">
        <v>8</v>
      </c>
      <c r="G1350" s="14">
        <v>2841900.46</v>
      </c>
      <c r="H1350">
        <v>1350</v>
      </c>
      <c r="I1350">
        <v>2105.11</v>
      </c>
      <c r="J1350">
        <v>3438699.56</v>
      </c>
    </row>
    <row r="1351" spans="1:10" hidden="1" x14ac:dyDescent="0.25">
      <c r="A1351" t="s">
        <v>466</v>
      </c>
      <c r="B1351" t="s">
        <v>88</v>
      </c>
      <c r="C1351" s="1">
        <v>45926</v>
      </c>
      <c r="D1351" t="s">
        <v>1345</v>
      </c>
      <c r="E1351" t="s">
        <v>136</v>
      </c>
      <c r="F1351" t="s">
        <v>8</v>
      </c>
      <c r="G1351" s="14">
        <v>1162199.22</v>
      </c>
      <c r="H1351">
        <v>1350</v>
      </c>
      <c r="I1351">
        <v>860.89</v>
      </c>
      <c r="J1351">
        <v>1406261.06</v>
      </c>
    </row>
    <row r="1352" spans="1:10" hidden="1" x14ac:dyDescent="0.25">
      <c r="A1352" t="s">
        <v>182</v>
      </c>
      <c r="B1352" t="s">
        <v>88</v>
      </c>
      <c r="C1352" s="1">
        <v>45925</v>
      </c>
      <c r="D1352" t="s">
        <v>1038</v>
      </c>
      <c r="E1352" t="s">
        <v>184</v>
      </c>
      <c r="F1352" t="s">
        <v>6</v>
      </c>
      <c r="G1352" s="14">
        <v>195036.82</v>
      </c>
      <c r="H1352">
        <v>1355</v>
      </c>
      <c r="I1352">
        <v>143.94</v>
      </c>
      <c r="J1352">
        <v>235994.55</v>
      </c>
    </row>
    <row r="1353" spans="1:10" hidden="1" x14ac:dyDescent="0.25">
      <c r="A1353" t="s">
        <v>510</v>
      </c>
      <c r="B1353" t="s">
        <v>96</v>
      </c>
      <c r="C1353" s="1">
        <v>45925</v>
      </c>
      <c r="D1353" t="s">
        <v>1432</v>
      </c>
      <c r="E1353" t="s">
        <v>127</v>
      </c>
      <c r="F1353" t="s">
        <v>115</v>
      </c>
      <c r="G1353" s="14">
        <v>257.77</v>
      </c>
      <c r="H1353">
        <v>1355</v>
      </c>
      <c r="I1353">
        <v>0.19</v>
      </c>
      <c r="J1353">
        <v>257.77</v>
      </c>
    </row>
    <row r="1354" spans="1:10" hidden="1" x14ac:dyDescent="0.25">
      <c r="A1354" t="s">
        <v>510</v>
      </c>
      <c r="B1354" t="s">
        <v>96</v>
      </c>
      <c r="C1354" s="1">
        <v>45925</v>
      </c>
      <c r="D1354" t="s">
        <v>1433</v>
      </c>
      <c r="E1354" t="s">
        <v>127</v>
      </c>
      <c r="F1354" t="s">
        <v>115</v>
      </c>
      <c r="G1354" s="14">
        <v>348.75</v>
      </c>
      <c r="H1354">
        <v>1355</v>
      </c>
      <c r="I1354">
        <v>0.26</v>
      </c>
      <c r="J1354">
        <v>348.75</v>
      </c>
    </row>
    <row r="1355" spans="1:10" hidden="1" x14ac:dyDescent="0.25">
      <c r="A1355" t="s">
        <v>515</v>
      </c>
      <c r="B1355" t="s">
        <v>88</v>
      </c>
      <c r="C1355" s="1">
        <v>45925</v>
      </c>
      <c r="D1355" t="s">
        <v>1464</v>
      </c>
      <c r="E1355" t="s">
        <v>184</v>
      </c>
      <c r="F1355" t="s">
        <v>135</v>
      </c>
      <c r="G1355" s="14">
        <v>16290</v>
      </c>
      <c r="H1355">
        <v>1355</v>
      </c>
      <c r="I1355">
        <v>12.02</v>
      </c>
      <c r="J1355">
        <v>19710.900000000001</v>
      </c>
    </row>
    <row r="1356" spans="1:10" hidden="1" x14ac:dyDescent="0.25">
      <c r="A1356" t="s">
        <v>533</v>
      </c>
      <c r="B1356" t="s">
        <v>88</v>
      </c>
      <c r="C1356" s="1">
        <v>45925</v>
      </c>
      <c r="D1356" t="s">
        <v>1490</v>
      </c>
      <c r="E1356" t="s">
        <v>653</v>
      </c>
      <c r="F1356" t="s">
        <v>117</v>
      </c>
      <c r="G1356" s="14">
        <v>9360.43</v>
      </c>
      <c r="H1356">
        <v>1355</v>
      </c>
      <c r="I1356">
        <v>6.91</v>
      </c>
      <c r="J1356">
        <v>11326.12</v>
      </c>
    </row>
    <row r="1357" spans="1:10" hidden="1" x14ac:dyDescent="0.25">
      <c r="A1357" t="s">
        <v>533</v>
      </c>
      <c r="B1357" t="s">
        <v>88</v>
      </c>
      <c r="C1357" s="1">
        <v>45925</v>
      </c>
      <c r="D1357" t="s">
        <v>1490</v>
      </c>
      <c r="E1357" t="s">
        <v>1000</v>
      </c>
      <c r="F1357" t="s">
        <v>117</v>
      </c>
      <c r="G1357" s="14">
        <v>73.88</v>
      </c>
      <c r="H1357">
        <v>1355</v>
      </c>
      <c r="I1357">
        <v>0.05</v>
      </c>
      <c r="J1357">
        <v>73.88</v>
      </c>
    </row>
    <row r="1358" spans="1:10" hidden="1" x14ac:dyDescent="0.25">
      <c r="A1358" t="s">
        <v>533</v>
      </c>
      <c r="B1358" t="s">
        <v>88</v>
      </c>
      <c r="C1358" s="1">
        <v>45925</v>
      </c>
      <c r="D1358" t="s">
        <v>1491</v>
      </c>
      <c r="E1358" t="s">
        <v>90</v>
      </c>
      <c r="F1358" t="s">
        <v>91</v>
      </c>
      <c r="G1358" s="14">
        <v>34746.089999999997</v>
      </c>
      <c r="H1358">
        <v>1355</v>
      </c>
      <c r="I1358">
        <v>25.64</v>
      </c>
      <c r="J1358">
        <v>42042.78</v>
      </c>
    </row>
    <row r="1359" spans="1:10" hidden="1" x14ac:dyDescent="0.25">
      <c r="A1359" t="s">
        <v>533</v>
      </c>
      <c r="B1359" t="s">
        <v>88</v>
      </c>
      <c r="C1359" s="1">
        <v>45925</v>
      </c>
      <c r="D1359" t="s">
        <v>1491</v>
      </c>
      <c r="E1359" t="s">
        <v>92</v>
      </c>
      <c r="F1359" t="s">
        <v>91</v>
      </c>
      <c r="G1359" s="14">
        <v>6959.26</v>
      </c>
      <c r="H1359">
        <v>1355</v>
      </c>
      <c r="I1359">
        <v>5.14</v>
      </c>
      <c r="J1359">
        <v>6959.26</v>
      </c>
    </row>
    <row r="1360" spans="1:10" hidden="1" x14ac:dyDescent="0.25">
      <c r="A1360" t="s">
        <v>552</v>
      </c>
      <c r="B1360" t="s">
        <v>88</v>
      </c>
      <c r="C1360" s="1">
        <v>45925</v>
      </c>
      <c r="D1360" t="s">
        <v>1506</v>
      </c>
      <c r="E1360" t="s">
        <v>136</v>
      </c>
      <c r="F1360" t="s">
        <v>6</v>
      </c>
      <c r="G1360" s="14">
        <v>140188.79999999999</v>
      </c>
      <c r="H1360">
        <v>1355</v>
      </c>
      <c r="I1360">
        <v>103.46</v>
      </c>
      <c r="J1360">
        <v>169628.45</v>
      </c>
    </row>
    <row r="1361" spans="1:10" hidden="1" x14ac:dyDescent="0.25">
      <c r="A1361" t="s">
        <v>246</v>
      </c>
      <c r="B1361" t="s">
        <v>88</v>
      </c>
      <c r="C1361" s="1">
        <v>45924</v>
      </c>
      <c r="D1361" t="s">
        <v>1086</v>
      </c>
      <c r="E1361" t="s">
        <v>114</v>
      </c>
      <c r="G1361" s="14">
        <v>6447.89</v>
      </c>
      <c r="H1361">
        <v>1360</v>
      </c>
      <c r="I1361">
        <v>4.74</v>
      </c>
      <c r="J1361">
        <v>7801.95</v>
      </c>
    </row>
    <row r="1362" spans="1:10" hidden="1" x14ac:dyDescent="0.25">
      <c r="A1362" t="s">
        <v>1237</v>
      </c>
      <c r="B1362" t="s">
        <v>88</v>
      </c>
      <c r="C1362" s="1">
        <v>45924</v>
      </c>
      <c r="D1362" t="s">
        <v>1238</v>
      </c>
      <c r="E1362" t="s">
        <v>205</v>
      </c>
      <c r="F1362" t="s">
        <v>109</v>
      </c>
      <c r="G1362" s="14">
        <v>60000</v>
      </c>
      <c r="H1362">
        <v>1360</v>
      </c>
      <c r="I1362">
        <v>44.12</v>
      </c>
      <c r="J1362">
        <v>72600</v>
      </c>
    </row>
    <row r="1363" spans="1:10" hidden="1" x14ac:dyDescent="0.25">
      <c r="A1363" t="s">
        <v>426</v>
      </c>
      <c r="B1363" t="s">
        <v>88</v>
      </c>
      <c r="C1363" s="1">
        <v>45924</v>
      </c>
      <c r="D1363" t="s">
        <v>1286</v>
      </c>
      <c r="E1363" t="s">
        <v>136</v>
      </c>
      <c r="F1363" t="s">
        <v>135</v>
      </c>
      <c r="G1363" s="14">
        <v>470210.64</v>
      </c>
      <c r="H1363">
        <v>1360</v>
      </c>
      <c r="I1363">
        <v>345.74</v>
      </c>
      <c r="J1363">
        <v>568954.87</v>
      </c>
    </row>
    <row r="1364" spans="1:10" hidden="1" x14ac:dyDescent="0.25">
      <c r="A1364" t="s">
        <v>443</v>
      </c>
      <c r="B1364" t="s">
        <v>88</v>
      </c>
      <c r="C1364" s="1">
        <v>45924</v>
      </c>
      <c r="D1364" t="s">
        <v>1315</v>
      </c>
      <c r="E1364" t="s">
        <v>90</v>
      </c>
      <c r="F1364" t="s">
        <v>91</v>
      </c>
      <c r="G1364" s="14">
        <v>58900.07</v>
      </c>
      <c r="H1364">
        <v>1360</v>
      </c>
      <c r="I1364">
        <v>43.31</v>
      </c>
      <c r="J1364">
        <v>71269.09</v>
      </c>
    </row>
    <row r="1365" spans="1:10" hidden="1" x14ac:dyDescent="0.25">
      <c r="A1365" t="s">
        <v>443</v>
      </c>
      <c r="B1365" t="s">
        <v>88</v>
      </c>
      <c r="C1365" s="1">
        <v>45924</v>
      </c>
      <c r="D1365" t="s">
        <v>1315</v>
      </c>
      <c r="E1365" t="s">
        <v>92</v>
      </c>
      <c r="F1365" t="s">
        <v>91</v>
      </c>
      <c r="G1365" s="14">
        <v>11740.84</v>
      </c>
      <c r="H1365">
        <v>1360</v>
      </c>
      <c r="I1365">
        <v>8.6300000000000008</v>
      </c>
      <c r="J1365">
        <v>11740.84</v>
      </c>
    </row>
    <row r="1366" spans="1:10" hidden="1" x14ac:dyDescent="0.25">
      <c r="A1366" t="s">
        <v>533</v>
      </c>
      <c r="B1366" t="s">
        <v>88</v>
      </c>
      <c r="C1366" s="1">
        <v>45924</v>
      </c>
      <c r="D1366" t="s">
        <v>1488</v>
      </c>
      <c r="E1366" t="s">
        <v>653</v>
      </c>
      <c r="F1366" t="s">
        <v>117</v>
      </c>
      <c r="G1366" s="14">
        <v>10600.1</v>
      </c>
      <c r="H1366">
        <v>1360</v>
      </c>
      <c r="I1366">
        <v>7.79</v>
      </c>
      <c r="J1366">
        <v>12826.12</v>
      </c>
    </row>
    <row r="1367" spans="1:10" hidden="1" x14ac:dyDescent="0.25">
      <c r="A1367" t="s">
        <v>533</v>
      </c>
      <c r="B1367" t="s">
        <v>88</v>
      </c>
      <c r="C1367" s="1">
        <v>45924</v>
      </c>
      <c r="D1367" t="s">
        <v>1488</v>
      </c>
      <c r="E1367" t="s">
        <v>1000</v>
      </c>
      <c r="F1367" t="s">
        <v>117</v>
      </c>
      <c r="G1367" s="14">
        <v>73.88</v>
      </c>
      <c r="H1367">
        <v>1360</v>
      </c>
      <c r="I1367">
        <v>0.05</v>
      </c>
      <c r="J1367">
        <v>73.88</v>
      </c>
    </row>
    <row r="1368" spans="1:10" hidden="1" x14ac:dyDescent="0.25">
      <c r="A1368" t="s">
        <v>552</v>
      </c>
      <c r="B1368" t="s">
        <v>199</v>
      </c>
      <c r="C1368" s="1">
        <v>45924</v>
      </c>
      <c r="D1368" t="s">
        <v>1513</v>
      </c>
      <c r="E1368" t="s">
        <v>136</v>
      </c>
      <c r="F1368" t="s">
        <v>6</v>
      </c>
      <c r="G1368" s="14">
        <v>-2328140</v>
      </c>
      <c r="H1368">
        <v>1360</v>
      </c>
      <c r="I1368">
        <v>-1711.87</v>
      </c>
      <c r="J1368">
        <v>-2817049.4</v>
      </c>
    </row>
    <row r="1369" spans="1:10" hidden="1" x14ac:dyDescent="0.25">
      <c r="A1369" t="s">
        <v>372</v>
      </c>
      <c r="B1369" t="s">
        <v>88</v>
      </c>
      <c r="C1369" s="1">
        <v>45923</v>
      </c>
      <c r="D1369" t="s">
        <v>1192</v>
      </c>
      <c r="E1369" t="s">
        <v>136</v>
      </c>
      <c r="F1369" t="s">
        <v>6</v>
      </c>
      <c r="G1369" s="14">
        <v>5266559.2300000004</v>
      </c>
      <c r="H1369">
        <v>1385</v>
      </c>
      <c r="I1369">
        <v>3802.57</v>
      </c>
      <c r="J1369">
        <v>6372536.6699999999</v>
      </c>
    </row>
    <row r="1370" spans="1:10" hidden="1" x14ac:dyDescent="0.25">
      <c r="A1370" t="s">
        <v>372</v>
      </c>
      <c r="B1370" t="s">
        <v>88</v>
      </c>
      <c r="C1370" s="1">
        <v>45923</v>
      </c>
      <c r="D1370" t="s">
        <v>1192</v>
      </c>
      <c r="E1370" t="s">
        <v>136</v>
      </c>
      <c r="F1370" t="s">
        <v>14</v>
      </c>
      <c r="G1370" s="14">
        <v>277187.33</v>
      </c>
      <c r="H1370">
        <v>1385</v>
      </c>
      <c r="I1370">
        <v>200.14</v>
      </c>
      <c r="J1370">
        <v>335396.67</v>
      </c>
    </row>
    <row r="1371" spans="1:10" hidden="1" x14ac:dyDescent="0.25">
      <c r="A1371" t="s">
        <v>1058</v>
      </c>
      <c r="B1371" t="s">
        <v>88</v>
      </c>
      <c r="C1371" s="1">
        <v>45922</v>
      </c>
      <c r="D1371" t="s">
        <v>1059</v>
      </c>
      <c r="E1371" t="s">
        <v>136</v>
      </c>
      <c r="F1371" t="s">
        <v>135</v>
      </c>
      <c r="G1371" s="14">
        <v>1703130.01</v>
      </c>
      <c r="H1371">
        <v>1430</v>
      </c>
      <c r="I1371">
        <v>1191</v>
      </c>
      <c r="J1371">
        <v>2060787.31</v>
      </c>
    </row>
    <row r="1372" spans="1:10" hidden="1" x14ac:dyDescent="0.25">
      <c r="A1372" t="s">
        <v>316</v>
      </c>
      <c r="B1372" t="s">
        <v>88</v>
      </c>
      <c r="C1372" s="1">
        <v>45922</v>
      </c>
      <c r="D1372" t="s">
        <v>1142</v>
      </c>
      <c r="E1372" t="s">
        <v>136</v>
      </c>
      <c r="F1372" t="s">
        <v>8</v>
      </c>
      <c r="G1372" s="14">
        <v>8011340.79</v>
      </c>
      <c r="H1372">
        <v>1430</v>
      </c>
      <c r="I1372">
        <v>5602.34</v>
      </c>
      <c r="J1372">
        <v>9693722.3599999994</v>
      </c>
    </row>
    <row r="1373" spans="1:10" hidden="1" x14ac:dyDescent="0.25">
      <c r="A1373" t="s">
        <v>515</v>
      </c>
      <c r="B1373" t="s">
        <v>88</v>
      </c>
      <c r="C1373" s="1">
        <v>45922</v>
      </c>
      <c r="D1373" t="s">
        <v>1459</v>
      </c>
      <c r="E1373" t="s">
        <v>184</v>
      </c>
      <c r="F1373" t="s">
        <v>14</v>
      </c>
      <c r="G1373" s="14">
        <v>14337</v>
      </c>
      <c r="H1373">
        <v>1430</v>
      </c>
      <c r="I1373">
        <v>10.029999999999999</v>
      </c>
      <c r="J1373">
        <v>17347.77</v>
      </c>
    </row>
    <row r="1374" spans="1:10" hidden="1" x14ac:dyDescent="0.25">
      <c r="A1374" t="s">
        <v>367</v>
      </c>
      <c r="B1374" t="s">
        <v>88</v>
      </c>
      <c r="C1374" s="1">
        <v>45921</v>
      </c>
      <c r="D1374" t="s">
        <v>1188</v>
      </c>
      <c r="E1374" t="s">
        <v>215</v>
      </c>
      <c r="F1374" t="s">
        <v>109</v>
      </c>
      <c r="G1374" s="14">
        <v>33545.360000000001</v>
      </c>
      <c r="H1374">
        <v>1515</v>
      </c>
      <c r="I1374">
        <v>22.14</v>
      </c>
      <c r="J1374">
        <v>40589.89</v>
      </c>
    </row>
    <row r="1375" spans="1:10" hidden="1" x14ac:dyDescent="0.25">
      <c r="A1375" t="s">
        <v>161</v>
      </c>
      <c r="B1375" t="s">
        <v>88</v>
      </c>
      <c r="C1375" s="1">
        <v>45919</v>
      </c>
      <c r="D1375" t="s">
        <v>1011</v>
      </c>
      <c r="E1375" t="s">
        <v>136</v>
      </c>
      <c r="F1375" t="s">
        <v>17</v>
      </c>
      <c r="G1375" s="14">
        <v>1516602.75</v>
      </c>
      <c r="H1375">
        <v>1515</v>
      </c>
      <c r="I1375">
        <v>1001.06</v>
      </c>
      <c r="J1375">
        <v>1835089.33</v>
      </c>
    </row>
    <row r="1376" spans="1:10" hidden="1" x14ac:dyDescent="0.25">
      <c r="A1376" t="s">
        <v>161</v>
      </c>
      <c r="B1376" t="s">
        <v>88</v>
      </c>
      <c r="C1376" s="1">
        <v>45919</v>
      </c>
      <c r="D1376" t="s">
        <v>1012</v>
      </c>
      <c r="E1376" t="s">
        <v>136</v>
      </c>
      <c r="F1376" t="s">
        <v>17</v>
      </c>
      <c r="G1376" s="14">
        <v>343610.8</v>
      </c>
      <c r="H1376">
        <v>1515</v>
      </c>
      <c r="I1376">
        <v>226.81</v>
      </c>
      <c r="J1376">
        <v>415769.07</v>
      </c>
    </row>
    <row r="1377" spans="1:10" hidden="1" x14ac:dyDescent="0.25">
      <c r="A1377" t="s">
        <v>281</v>
      </c>
      <c r="B1377" t="s">
        <v>88</v>
      </c>
      <c r="C1377" s="1">
        <v>45919</v>
      </c>
      <c r="D1377" t="s">
        <v>1118</v>
      </c>
      <c r="E1377" t="s">
        <v>283</v>
      </c>
      <c r="F1377" t="s">
        <v>109</v>
      </c>
      <c r="G1377" s="14">
        <v>83619.899999999994</v>
      </c>
      <c r="H1377">
        <v>1515</v>
      </c>
      <c r="I1377">
        <v>55.19</v>
      </c>
      <c r="J1377">
        <v>101180.08</v>
      </c>
    </row>
    <row r="1378" spans="1:10" hidden="1" x14ac:dyDescent="0.25">
      <c r="A1378" t="s">
        <v>281</v>
      </c>
      <c r="B1378" t="s">
        <v>199</v>
      </c>
      <c r="C1378" s="1">
        <v>45919</v>
      </c>
      <c r="D1378" t="s">
        <v>1119</v>
      </c>
      <c r="E1378" t="s">
        <v>283</v>
      </c>
      <c r="F1378" t="s">
        <v>109</v>
      </c>
      <c r="G1378" s="14">
        <v>-4909.1000000000004</v>
      </c>
      <c r="H1378">
        <v>1515</v>
      </c>
      <c r="I1378">
        <v>-3.24</v>
      </c>
      <c r="J1378">
        <v>-5940.01</v>
      </c>
    </row>
    <row r="1379" spans="1:10" hidden="1" x14ac:dyDescent="0.25">
      <c r="A1379" t="s">
        <v>316</v>
      </c>
      <c r="B1379" t="s">
        <v>88</v>
      </c>
      <c r="C1379" s="1">
        <v>45919</v>
      </c>
      <c r="D1379" t="s">
        <v>1141</v>
      </c>
      <c r="E1379" t="s">
        <v>136</v>
      </c>
      <c r="F1379" t="s">
        <v>6</v>
      </c>
      <c r="G1379" s="14">
        <v>5005260</v>
      </c>
      <c r="H1379">
        <v>1515</v>
      </c>
      <c r="I1379">
        <v>3303.8</v>
      </c>
      <c r="J1379">
        <v>6056364.5999999996</v>
      </c>
    </row>
    <row r="1380" spans="1:10" hidden="1" x14ac:dyDescent="0.25">
      <c r="A1380" t="s">
        <v>1251</v>
      </c>
      <c r="B1380" t="s">
        <v>88</v>
      </c>
      <c r="C1380" s="1">
        <v>45919</v>
      </c>
      <c r="D1380" t="s">
        <v>1258</v>
      </c>
      <c r="E1380" t="s">
        <v>136</v>
      </c>
      <c r="F1380" t="s">
        <v>17</v>
      </c>
      <c r="G1380" s="14">
        <v>12745.71</v>
      </c>
      <c r="H1380">
        <v>1515</v>
      </c>
      <c r="I1380">
        <v>8.41</v>
      </c>
      <c r="J1380">
        <v>15422.31</v>
      </c>
    </row>
    <row r="1381" spans="1:10" hidden="1" x14ac:dyDescent="0.25">
      <c r="A1381" t="s">
        <v>426</v>
      </c>
      <c r="B1381" t="s">
        <v>88</v>
      </c>
      <c r="C1381" s="1">
        <v>45919</v>
      </c>
      <c r="D1381" t="s">
        <v>1282</v>
      </c>
      <c r="E1381" t="s">
        <v>136</v>
      </c>
      <c r="F1381" t="s">
        <v>14</v>
      </c>
      <c r="G1381" s="14">
        <v>191598.39</v>
      </c>
      <c r="H1381">
        <v>1515</v>
      </c>
      <c r="I1381">
        <v>126.47</v>
      </c>
      <c r="J1381">
        <v>231834.05</v>
      </c>
    </row>
    <row r="1382" spans="1:10" hidden="1" x14ac:dyDescent="0.25">
      <c r="A1382" t="s">
        <v>515</v>
      </c>
      <c r="B1382" t="s">
        <v>88</v>
      </c>
      <c r="C1382" s="1">
        <v>45919</v>
      </c>
      <c r="D1382" t="s">
        <v>1455</v>
      </c>
      <c r="E1382" t="s">
        <v>184</v>
      </c>
      <c r="F1382" t="s">
        <v>14</v>
      </c>
      <c r="G1382" s="14">
        <v>19951</v>
      </c>
      <c r="H1382">
        <v>1515</v>
      </c>
      <c r="I1382">
        <v>13.17</v>
      </c>
      <c r="J1382">
        <v>24140.71</v>
      </c>
    </row>
    <row r="1383" spans="1:10" hidden="1" x14ac:dyDescent="0.25">
      <c r="A1383" t="s">
        <v>1362</v>
      </c>
      <c r="B1383" t="s">
        <v>88</v>
      </c>
      <c r="C1383" s="1">
        <v>45918</v>
      </c>
      <c r="D1383" t="s">
        <v>1370</v>
      </c>
      <c r="E1383" t="s">
        <v>136</v>
      </c>
      <c r="F1383" t="s">
        <v>6</v>
      </c>
      <c r="G1383" s="14">
        <v>29447.55</v>
      </c>
      <c r="H1383">
        <v>1495</v>
      </c>
      <c r="I1383">
        <v>19.7</v>
      </c>
      <c r="J1383">
        <v>35631.54</v>
      </c>
    </row>
    <row r="1384" spans="1:10" hidden="1" x14ac:dyDescent="0.25">
      <c r="A1384" t="s">
        <v>533</v>
      </c>
      <c r="B1384" t="s">
        <v>88</v>
      </c>
      <c r="C1384" s="1">
        <v>45918</v>
      </c>
      <c r="D1384" t="s">
        <v>1485</v>
      </c>
      <c r="E1384" t="s">
        <v>653</v>
      </c>
      <c r="F1384" t="s">
        <v>117</v>
      </c>
      <c r="G1384" s="14">
        <v>10765.39</v>
      </c>
      <c r="H1384">
        <v>1495</v>
      </c>
      <c r="I1384">
        <v>7.2</v>
      </c>
      <c r="J1384">
        <v>13026.12</v>
      </c>
    </row>
    <row r="1385" spans="1:10" hidden="1" x14ac:dyDescent="0.25">
      <c r="A1385" t="s">
        <v>533</v>
      </c>
      <c r="B1385" t="s">
        <v>88</v>
      </c>
      <c r="C1385" s="1">
        <v>45918</v>
      </c>
      <c r="D1385" t="s">
        <v>1485</v>
      </c>
      <c r="E1385" t="s">
        <v>1000</v>
      </c>
      <c r="F1385" t="s">
        <v>117</v>
      </c>
      <c r="G1385" s="14">
        <v>73.88</v>
      </c>
      <c r="H1385">
        <v>1495</v>
      </c>
      <c r="I1385">
        <v>0.05</v>
      </c>
      <c r="J1385">
        <v>73.88</v>
      </c>
    </row>
    <row r="1386" spans="1:10" hidden="1" x14ac:dyDescent="0.25">
      <c r="A1386" t="s">
        <v>533</v>
      </c>
      <c r="B1386" t="s">
        <v>88</v>
      </c>
      <c r="C1386" s="1">
        <v>45918</v>
      </c>
      <c r="D1386" t="s">
        <v>1486</v>
      </c>
      <c r="E1386" t="s">
        <v>90</v>
      </c>
      <c r="F1386" t="s">
        <v>91</v>
      </c>
      <c r="G1386" s="14">
        <v>64885.31</v>
      </c>
      <c r="H1386">
        <v>1495</v>
      </c>
      <c r="I1386">
        <v>43.4</v>
      </c>
      <c r="J1386">
        <v>78511.240000000005</v>
      </c>
    </row>
    <row r="1387" spans="1:10" hidden="1" x14ac:dyDescent="0.25">
      <c r="A1387" t="s">
        <v>533</v>
      </c>
      <c r="B1387" t="s">
        <v>88</v>
      </c>
      <c r="C1387" s="1">
        <v>45918</v>
      </c>
      <c r="D1387" t="s">
        <v>1486</v>
      </c>
      <c r="E1387" t="s">
        <v>92</v>
      </c>
      <c r="F1387" t="s">
        <v>91</v>
      </c>
      <c r="G1387" s="14">
        <v>12995.82</v>
      </c>
      <c r="H1387">
        <v>1495</v>
      </c>
      <c r="I1387">
        <v>8.69</v>
      </c>
      <c r="J1387">
        <v>12995.82</v>
      </c>
    </row>
    <row r="1388" spans="1:10" hidden="1" x14ac:dyDescent="0.25">
      <c r="A1388" t="s">
        <v>414</v>
      </c>
      <c r="B1388" t="s">
        <v>88</v>
      </c>
      <c r="C1388" s="1">
        <v>45917</v>
      </c>
      <c r="D1388" t="s">
        <v>1243</v>
      </c>
      <c r="E1388" t="s">
        <v>136</v>
      </c>
      <c r="F1388" t="s">
        <v>6</v>
      </c>
      <c r="G1388" s="14">
        <v>411600.66</v>
      </c>
      <c r="H1388">
        <v>1485</v>
      </c>
      <c r="I1388">
        <v>277.17</v>
      </c>
      <c r="J1388">
        <v>498036.8</v>
      </c>
    </row>
    <row r="1389" spans="1:10" hidden="1" x14ac:dyDescent="0.25">
      <c r="A1389" t="s">
        <v>426</v>
      </c>
      <c r="B1389" t="s">
        <v>88</v>
      </c>
      <c r="C1389" s="1">
        <v>45917</v>
      </c>
      <c r="D1389" t="s">
        <v>1273</v>
      </c>
      <c r="E1389" t="s">
        <v>136</v>
      </c>
      <c r="F1389" t="s">
        <v>14</v>
      </c>
      <c r="G1389" s="14">
        <v>993433.21</v>
      </c>
      <c r="H1389">
        <v>1485</v>
      </c>
      <c r="I1389">
        <v>668.98</v>
      </c>
      <c r="J1389">
        <v>1202054.18</v>
      </c>
    </row>
    <row r="1390" spans="1:10" hidden="1" x14ac:dyDescent="0.25">
      <c r="A1390" t="s">
        <v>443</v>
      </c>
      <c r="B1390" t="s">
        <v>88</v>
      </c>
      <c r="C1390" s="1">
        <v>45917</v>
      </c>
      <c r="D1390" t="s">
        <v>1313</v>
      </c>
      <c r="E1390" t="s">
        <v>653</v>
      </c>
      <c r="F1390" t="s">
        <v>117</v>
      </c>
      <c r="G1390" s="14">
        <v>8039.9</v>
      </c>
      <c r="H1390">
        <v>1485</v>
      </c>
      <c r="I1390">
        <v>5.41</v>
      </c>
      <c r="J1390">
        <v>9728.2800000000007</v>
      </c>
    </row>
    <row r="1391" spans="1:10" hidden="1" x14ac:dyDescent="0.25">
      <c r="A1391" t="s">
        <v>443</v>
      </c>
      <c r="B1391" t="s">
        <v>88</v>
      </c>
      <c r="C1391" s="1">
        <v>45917</v>
      </c>
      <c r="D1391" t="s">
        <v>1313</v>
      </c>
      <c r="E1391" t="s">
        <v>1000</v>
      </c>
      <c r="F1391" t="s">
        <v>117</v>
      </c>
      <c r="G1391" s="14">
        <v>71.709999999999994</v>
      </c>
      <c r="H1391">
        <v>1485</v>
      </c>
      <c r="I1391">
        <v>0.05</v>
      </c>
      <c r="J1391">
        <v>71.709999999999994</v>
      </c>
    </row>
    <row r="1392" spans="1:10" hidden="1" x14ac:dyDescent="0.25">
      <c r="A1392" t="s">
        <v>552</v>
      </c>
      <c r="B1392" t="s">
        <v>88</v>
      </c>
      <c r="C1392" s="1">
        <v>45917</v>
      </c>
      <c r="D1392" t="s">
        <v>1501</v>
      </c>
      <c r="E1392" t="s">
        <v>136</v>
      </c>
      <c r="F1392" t="s">
        <v>14</v>
      </c>
      <c r="G1392" s="14">
        <v>461316</v>
      </c>
      <c r="H1392">
        <v>1485</v>
      </c>
      <c r="I1392">
        <v>310.64999999999998</v>
      </c>
      <c r="J1392">
        <v>558192.36</v>
      </c>
    </row>
    <row r="1393" spans="1:10" hidden="1" x14ac:dyDescent="0.25">
      <c r="A1393" t="s">
        <v>112</v>
      </c>
      <c r="B1393" t="s">
        <v>88</v>
      </c>
      <c r="C1393" s="1">
        <v>45916</v>
      </c>
      <c r="D1393" t="s">
        <v>962</v>
      </c>
      <c r="E1393" t="s">
        <v>114</v>
      </c>
      <c r="F1393" t="s">
        <v>117</v>
      </c>
      <c r="G1393" s="14">
        <v>3119.94</v>
      </c>
      <c r="H1393">
        <v>1480</v>
      </c>
      <c r="I1393">
        <v>2.11</v>
      </c>
      <c r="J1393">
        <v>3775.13</v>
      </c>
    </row>
    <row r="1394" spans="1:10" hidden="1" x14ac:dyDescent="0.25">
      <c r="A1394" t="s">
        <v>226</v>
      </c>
      <c r="B1394" t="s">
        <v>88</v>
      </c>
      <c r="C1394" s="1">
        <v>45916</v>
      </c>
      <c r="D1394" t="s">
        <v>1066</v>
      </c>
      <c r="E1394" t="s">
        <v>228</v>
      </c>
      <c r="F1394" t="s">
        <v>109</v>
      </c>
      <c r="G1394" s="14">
        <v>389528.49</v>
      </c>
      <c r="H1394">
        <v>1480</v>
      </c>
      <c r="I1394">
        <v>263.19</v>
      </c>
      <c r="J1394">
        <v>494701.18</v>
      </c>
    </row>
    <row r="1395" spans="1:10" hidden="1" x14ac:dyDescent="0.25">
      <c r="A1395" t="s">
        <v>226</v>
      </c>
      <c r="B1395" t="s">
        <v>88</v>
      </c>
      <c r="C1395" s="1">
        <v>45916</v>
      </c>
      <c r="D1395" t="s">
        <v>1066</v>
      </c>
      <c r="E1395" t="s">
        <v>229</v>
      </c>
      <c r="F1395" t="s">
        <v>109</v>
      </c>
      <c r="G1395" s="14">
        <v>87647.81</v>
      </c>
      <c r="H1395">
        <v>1480</v>
      </c>
      <c r="I1395">
        <v>59.22</v>
      </c>
      <c r="J1395">
        <v>87647.81</v>
      </c>
    </row>
    <row r="1396" spans="1:10" hidden="1" x14ac:dyDescent="0.25">
      <c r="A1396" t="s">
        <v>226</v>
      </c>
      <c r="B1396" t="s">
        <v>88</v>
      </c>
      <c r="C1396" s="1">
        <v>45916</v>
      </c>
      <c r="D1396" t="s">
        <v>1067</v>
      </c>
      <c r="E1396" t="s">
        <v>228</v>
      </c>
      <c r="F1396" t="s">
        <v>109</v>
      </c>
      <c r="G1396" s="14">
        <v>391719.56</v>
      </c>
      <c r="H1396">
        <v>1480</v>
      </c>
      <c r="I1396">
        <v>264.68</v>
      </c>
      <c r="J1396">
        <v>497483.84</v>
      </c>
    </row>
    <row r="1397" spans="1:10" hidden="1" x14ac:dyDescent="0.25">
      <c r="A1397" t="s">
        <v>226</v>
      </c>
      <c r="B1397" t="s">
        <v>88</v>
      </c>
      <c r="C1397" s="1">
        <v>45916</v>
      </c>
      <c r="D1397" t="s">
        <v>1067</v>
      </c>
      <c r="E1397" t="s">
        <v>229</v>
      </c>
      <c r="F1397" t="s">
        <v>109</v>
      </c>
      <c r="G1397" s="14">
        <v>88140.81</v>
      </c>
      <c r="H1397">
        <v>1480</v>
      </c>
      <c r="I1397">
        <v>59.55</v>
      </c>
      <c r="J1397">
        <v>88140.81</v>
      </c>
    </row>
    <row r="1398" spans="1:10" hidden="1" x14ac:dyDescent="0.25">
      <c r="A1398" t="s">
        <v>246</v>
      </c>
      <c r="B1398" t="s">
        <v>96</v>
      </c>
      <c r="C1398" s="1">
        <v>45916</v>
      </c>
      <c r="D1398" t="s">
        <v>1093</v>
      </c>
      <c r="E1398" t="s">
        <v>127</v>
      </c>
      <c r="F1398" t="s">
        <v>115</v>
      </c>
      <c r="G1398" s="14">
        <v>2747.22</v>
      </c>
      <c r="H1398">
        <v>1480</v>
      </c>
      <c r="I1398">
        <v>1.86</v>
      </c>
      <c r="J1398">
        <v>2747.22</v>
      </c>
    </row>
    <row r="1399" spans="1:10" hidden="1" x14ac:dyDescent="0.25">
      <c r="A1399" t="s">
        <v>1251</v>
      </c>
      <c r="B1399" t="s">
        <v>88</v>
      </c>
      <c r="C1399" s="1">
        <v>45916</v>
      </c>
      <c r="D1399" t="s">
        <v>1257</v>
      </c>
      <c r="E1399" t="s">
        <v>136</v>
      </c>
      <c r="F1399" t="s">
        <v>6</v>
      </c>
      <c r="G1399" s="14">
        <v>244521.91</v>
      </c>
      <c r="H1399">
        <v>1480</v>
      </c>
      <c r="I1399">
        <v>165.22</v>
      </c>
      <c r="J1399">
        <v>295871.52</v>
      </c>
    </row>
    <row r="1400" spans="1:10" hidden="1" x14ac:dyDescent="0.25">
      <c r="A1400" t="s">
        <v>125</v>
      </c>
      <c r="B1400" t="s">
        <v>88</v>
      </c>
      <c r="C1400" s="1">
        <v>45915</v>
      </c>
      <c r="D1400" t="s">
        <v>965</v>
      </c>
      <c r="E1400" t="s">
        <v>114</v>
      </c>
      <c r="F1400" t="s">
        <v>117</v>
      </c>
      <c r="G1400" s="14">
        <v>6648.5</v>
      </c>
      <c r="H1400">
        <v>1475</v>
      </c>
      <c r="I1400">
        <v>4.51</v>
      </c>
      <c r="J1400">
        <v>8044.69</v>
      </c>
    </row>
    <row r="1401" spans="1:10" hidden="1" x14ac:dyDescent="0.25">
      <c r="A1401" t="s">
        <v>125</v>
      </c>
      <c r="B1401" t="s">
        <v>88</v>
      </c>
      <c r="C1401" s="1">
        <v>45915</v>
      </c>
      <c r="D1401" t="s">
        <v>965</v>
      </c>
      <c r="E1401" t="s">
        <v>127</v>
      </c>
      <c r="F1401" t="s">
        <v>117</v>
      </c>
      <c r="G1401" s="14">
        <v>664.9</v>
      </c>
      <c r="H1401">
        <v>1475</v>
      </c>
      <c r="I1401">
        <v>0.45</v>
      </c>
      <c r="J1401">
        <v>664.9</v>
      </c>
    </row>
    <row r="1402" spans="1:10" hidden="1" x14ac:dyDescent="0.25">
      <c r="A1402" t="s">
        <v>132</v>
      </c>
      <c r="B1402" t="s">
        <v>88</v>
      </c>
      <c r="C1402" s="1">
        <v>45915</v>
      </c>
      <c r="D1402" t="s">
        <v>983</v>
      </c>
      <c r="E1402" t="s">
        <v>136</v>
      </c>
      <c r="F1402" t="s">
        <v>976</v>
      </c>
      <c r="G1402" s="14">
        <v>40284.080000000002</v>
      </c>
      <c r="H1402">
        <v>1475</v>
      </c>
      <c r="I1402">
        <v>27.31</v>
      </c>
      <c r="J1402">
        <v>48743.74</v>
      </c>
    </row>
    <row r="1403" spans="1:10" hidden="1" x14ac:dyDescent="0.25">
      <c r="A1403" t="s">
        <v>132</v>
      </c>
      <c r="B1403" t="s">
        <v>88</v>
      </c>
      <c r="C1403" s="1">
        <v>45915</v>
      </c>
      <c r="D1403" t="s">
        <v>984</v>
      </c>
      <c r="E1403" t="s">
        <v>136</v>
      </c>
      <c r="F1403" t="s">
        <v>135</v>
      </c>
      <c r="G1403" s="14">
        <v>11782.4</v>
      </c>
      <c r="H1403">
        <v>1475</v>
      </c>
      <c r="I1403">
        <v>7.99</v>
      </c>
      <c r="J1403">
        <v>14256.7</v>
      </c>
    </row>
    <row r="1404" spans="1:10" hidden="1" x14ac:dyDescent="0.25">
      <c r="A1404" t="s">
        <v>324</v>
      </c>
      <c r="B1404" t="s">
        <v>88</v>
      </c>
      <c r="C1404" s="1">
        <v>45915</v>
      </c>
      <c r="D1404" t="s">
        <v>1157</v>
      </c>
      <c r="E1404" t="s">
        <v>102</v>
      </c>
      <c r="F1404" t="s">
        <v>6</v>
      </c>
      <c r="G1404" s="14">
        <v>221539.5</v>
      </c>
      <c r="H1404">
        <v>1475</v>
      </c>
      <c r="I1404">
        <v>150.19999999999999</v>
      </c>
      <c r="J1404">
        <v>221539.5</v>
      </c>
    </row>
    <row r="1405" spans="1:10" hidden="1" x14ac:dyDescent="0.25">
      <c r="A1405" t="s">
        <v>246</v>
      </c>
      <c r="B1405" t="s">
        <v>88</v>
      </c>
      <c r="C1405" s="1">
        <v>45914</v>
      </c>
      <c r="D1405" t="s">
        <v>1079</v>
      </c>
      <c r="E1405" t="s">
        <v>114</v>
      </c>
      <c r="F1405" t="s">
        <v>117</v>
      </c>
      <c r="G1405" s="14">
        <v>19759.669999999998</v>
      </c>
      <c r="H1405">
        <v>1465</v>
      </c>
      <c r="I1405">
        <v>13.49</v>
      </c>
      <c r="J1405">
        <v>23909.200000000001</v>
      </c>
    </row>
    <row r="1406" spans="1:10" hidden="1" x14ac:dyDescent="0.25">
      <c r="A1406" t="s">
        <v>246</v>
      </c>
      <c r="B1406" t="s">
        <v>88</v>
      </c>
      <c r="C1406" s="1">
        <v>45914</v>
      </c>
      <c r="D1406" t="s">
        <v>1080</v>
      </c>
      <c r="E1406" t="s">
        <v>114</v>
      </c>
      <c r="F1406" t="s">
        <v>117</v>
      </c>
      <c r="G1406" s="14">
        <v>2079.9499999999998</v>
      </c>
      <c r="H1406">
        <v>1465</v>
      </c>
      <c r="I1406">
        <v>1.42</v>
      </c>
      <c r="J1406">
        <v>2516.7399999999998</v>
      </c>
    </row>
    <row r="1407" spans="1:10" hidden="1" x14ac:dyDescent="0.25">
      <c r="A1407" t="s">
        <v>504</v>
      </c>
      <c r="B1407" t="s">
        <v>88</v>
      </c>
      <c r="C1407" s="1">
        <v>45914</v>
      </c>
      <c r="D1407" t="s">
        <v>1426</v>
      </c>
      <c r="E1407" t="s">
        <v>506</v>
      </c>
      <c r="F1407" t="s">
        <v>109</v>
      </c>
      <c r="G1407" s="14">
        <v>309791</v>
      </c>
      <c r="H1407">
        <v>1465</v>
      </c>
      <c r="I1407">
        <v>211.46</v>
      </c>
      <c r="J1407">
        <v>393434.57</v>
      </c>
    </row>
    <row r="1408" spans="1:10" hidden="1" x14ac:dyDescent="0.25">
      <c r="A1408" t="s">
        <v>504</v>
      </c>
      <c r="B1408" t="s">
        <v>88</v>
      </c>
      <c r="C1408" s="1">
        <v>45914</v>
      </c>
      <c r="D1408" t="s">
        <v>1426</v>
      </c>
      <c r="E1408" t="s">
        <v>507</v>
      </c>
      <c r="F1408" t="s">
        <v>109</v>
      </c>
      <c r="G1408" s="14">
        <v>16304.61</v>
      </c>
      <c r="H1408">
        <v>1465</v>
      </c>
      <c r="I1408">
        <v>11.13</v>
      </c>
      <c r="J1408">
        <v>16304.61</v>
      </c>
    </row>
    <row r="1409" spans="1:10" hidden="1" x14ac:dyDescent="0.25">
      <c r="A1409" t="s">
        <v>132</v>
      </c>
      <c r="B1409" t="s">
        <v>88</v>
      </c>
      <c r="C1409" s="1">
        <v>45912</v>
      </c>
      <c r="D1409" t="s">
        <v>979</v>
      </c>
      <c r="E1409" t="s">
        <v>136</v>
      </c>
      <c r="F1409" t="s">
        <v>976</v>
      </c>
      <c r="G1409" s="14">
        <v>7408.72</v>
      </c>
      <c r="H1409">
        <v>1465</v>
      </c>
      <c r="I1409">
        <v>5.0599999999999996</v>
      </c>
      <c r="J1409">
        <v>8964.5499999999993</v>
      </c>
    </row>
    <row r="1410" spans="1:10" hidden="1" x14ac:dyDescent="0.25">
      <c r="A1410" t="s">
        <v>313</v>
      </c>
      <c r="B1410" t="s">
        <v>88</v>
      </c>
      <c r="C1410" s="1">
        <v>45912</v>
      </c>
      <c r="D1410" t="s">
        <v>1137</v>
      </c>
      <c r="E1410" t="s">
        <v>90</v>
      </c>
      <c r="F1410" t="s">
        <v>109</v>
      </c>
      <c r="G1410" s="14">
        <v>79470.289999999994</v>
      </c>
      <c r="H1410">
        <v>1465</v>
      </c>
      <c r="I1410">
        <v>54.25</v>
      </c>
      <c r="J1410">
        <v>96159.06</v>
      </c>
    </row>
    <row r="1411" spans="1:10" hidden="1" x14ac:dyDescent="0.25">
      <c r="A1411" t="s">
        <v>313</v>
      </c>
      <c r="B1411" t="s">
        <v>88</v>
      </c>
      <c r="C1411" s="1">
        <v>45912</v>
      </c>
      <c r="D1411" t="s">
        <v>1137</v>
      </c>
      <c r="E1411" t="s">
        <v>92</v>
      </c>
      <c r="F1411" t="s">
        <v>109</v>
      </c>
      <c r="G1411" s="14">
        <v>5844.03</v>
      </c>
      <c r="H1411">
        <v>1465</v>
      </c>
      <c r="I1411">
        <v>3.99</v>
      </c>
      <c r="J1411">
        <v>5844.03</v>
      </c>
    </row>
    <row r="1412" spans="1:10" hidden="1" x14ac:dyDescent="0.25">
      <c r="A1412" t="s">
        <v>466</v>
      </c>
      <c r="B1412" t="s">
        <v>470</v>
      </c>
      <c r="C1412" s="1">
        <v>45912</v>
      </c>
      <c r="D1412" t="s">
        <v>1346</v>
      </c>
      <c r="E1412" t="s">
        <v>944</v>
      </c>
      <c r="F1412" t="s">
        <v>945</v>
      </c>
      <c r="G1412" s="14">
        <v>51538.67</v>
      </c>
      <c r="H1412">
        <v>1465</v>
      </c>
      <c r="I1412">
        <v>35.18</v>
      </c>
      <c r="J1412">
        <v>62361.79</v>
      </c>
    </row>
    <row r="1413" spans="1:10" hidden="1" x14ac:dyDescent="0.25">
      <c r="A1413" t="s">
        <v>552</v>
      </c>
      <c r="B1413" t="s">
        <v>88</v>
      </c>
      <c r="C1413" s="1">
        <v>45912</v>
      </c>
      <c r="D1413" t="s">
        <v>1499</v>
      </c>
      <c r="E1413" t="s">
        <v>136</v>
      </c>
      <c r="F1413" t="s">
        <v>6</v>
      </c>
      <c r="G1413" s="14">
        <v>34572879</v>
      </c>
      <c r="H1413">
        <v>1465</v>
      </c>
      <c r="I1413">
        <v>23599.23</v>
      </c>
      <c r="J1413">
        <v>41833183.590000004</v>
      </c>
    </row>
    <row r="1414" spans="1:10" hidden="1" x14ac:dyDescent="0.25">
      <c r="A1414" t="s">
        <v>400</v>
      </c>
      <c r="B1414" t="s">
        <v>88</v>
      </c>
      <c r="C1414" s="1">
        <v>45911</v>
      </c>
      <c r="D1414" t="s">
        <v>1219</v>
      </c>
      <c r="E1414" t="s">
        <v>184</v>
      </c>
      <c r="F1414" t="s">
        <v>6</v>
      </c>
      <c r="G1414" s="14">
        <v>43846.87</v>
      </c>
      <c r="H1414">
        <v>1445</v>
      </c>
      <c r="I1414">
        <v>30.34</v>
      </c>
      <c r="J1414">
        <v>53054.71</v>
      </c>
    </row>
    <row r="1415" spans="1:10" hidden="1" x14ac:dyDescent="0.25">
      <c r="A1415" t="s">
        <v>400</v>
      </c>
      <c r="B1415" t="s">
        <v>88</v>
      </c>
      <c r="C1415" s="1">
        <v>45911</v>
      </c>
      <c r="D1415" t="s">
        <v>1219</v>
      </c>
      <c r="E1415" t="s">
        <v>184</v>
      </c>
      <c r="F1415" t="s">
        <v>7</v>
      </c>
      <c r="G1415" s="14">
        <v>9834.23</v>
      </c>
      <c r="H1415">
        <v>1445</v>
      </c>
      <c r="I1415">
        <v>6.81</v>
      </c>
      <c r="J1415">
        <v>11899.42</v>
      </c>
    </row>
    <row r="1416" spans="1:10" hidden="1" x14ac:dyDescent="0.25">
      <c r="A1416" t="s">
        <v>1251</v>
      </c>
      <c r="B1416" t="s">
        <v>88</v>
      </c>
      <c r="C1416" s="1">
        <v>45911</v>
      </c>
      <c r="D1416" t="s">
        <v>1256</v>
      </c>
      <c r="E1416" t="s">
        <v>136</v>
      </c>
      <c r="F1416" t="s">
        <v>7</v>
      </c>
      <c r="G1416" s="14">
        <v>289904.86</v>
      </c>
      <c r="H1416">
        <v>1445</v>
      </c>
      <c r="I1416">
        <v>200.63</v>
      </c>
      <c r="J1416">
        <v>350784.88</v>
      </c>
    </row>
    <row r="1417" spans="1:10" hidden="1" x14ac:dyDescent="0.25">
      <c r="A1417" t="s">
        <v>1251</v>
      </c>
      <c r="B1417" t="s">
        <v>88</v>
      </c>
      <c r="C1417" s="1">
        <v>45911</v>
      </c>
      <c r="D1417" t="s">
        <v>1256</v>
      </c>
      <c r="E1417" t="s">
        <v>329</v>
      </c>
      <c r="F1417" t="s">
        <v>7</v>
      </c>
      <c r="G1417" s="14">
        <v>1449.52</v>
      </c>
      <c r="H1417">
        <v>1445</v>
      </c>
      <c r="I1417">
        <v>1</v>
      </c>
      <c r="J1417">
        <v>1449.52</v>
      </c>
    </row>
    <row r="1418" spans="1:10" hidden="1" x14ac:dyDescent="0.25">
      <c r="A1418" t="s">
        <v>443</v>
      </c>
      <c r="B1418" t="s">
        <v>88</v>
      </c>
      <c r="C1418" s="1">
        <v>45911</v>
      </c>
      <c r="D1418" t="s">
        <v>1310</v>
      </c>
      <c r="E1418" t="s">
        <v>90</v>
      </c>
      <c r="F1418" t="s">
        <v>91</v>
      </c>
      <c r="G1418" s="14">
        <v>54851.79</v>
      </c>
      <c r="H1418">
        <v>1445</v>
      </c>
      <c r="I1418">
        <v>37.96</v>
      </c>
      <c r="J1418">
        <v>66370.679999999993</v>
      </c>
    </row>
    <row r="1419" spans="1:10" hidden="1" x14ac:dyDescent="0.25">
      <c r="A1419" t="s">
        <v>443</v>
      </c>
      <c r="B1419" t="s">
        <v>88</v>
      </c>
      <c r="C1419" s="1">
        <v>45911</v>
      </c>
      <c r="D1419" t="s">
        <v>1310</v>
      </c>
      <c r="E1419" t="s">
        <v>92</v>
      </c>
      <c r="F1419" t="s">
        <v>91</v>
      </c>
      <c r="G1419" s="14">
        <v>11634.25</v>
      </c>
      <c r="H1419">
        <v>1445</v>
      </c>
      <c r="I1419">
        <v>8.0500000000000007</v>
      </c>
      <c r="J1419">
        <v>11634.25</v>
      </c>
    </row>
    <row r="1420" spans="1:10" hidden="1" x14ac:dyDescent="0.25">
      <c r="A1420" t="s">
        <v>533</v>
      </c>
      <c r="B1420" t="s">
        <v>88</v>
      </c>
      <c r="C1420" s="1">
        <v>45911</v>
      </c>
      <c r="D1420" t="s">
        <v>1481</v>
      </c>
      <c r="E1420" t="s">
        <v>90</v>
      </c>
      <c r="F1420" t="s">
        <v>91</v>
      </c>
      <c r="G1420" s="14">
        <v>66662.91</v>
      </c>
      <c r="H1420">
        <v>1445</v>
      </c>
      <c r="I1420">
        <v>46.13</v>
      </c>
      <c r="J1420">
        <v>80662.13</v>
      </c>
    </row>
    <row r="1421" spans="1:10" hidden="1" x14ac:dyDescent="0.25">
      <c r="A1421" t="s">
        <v>533</v>
      </c>
      <c r="B1421" t="s">
        <v>88</v>
      </c>
      <c r="C1421" s="1">
        <v>45911</v>
      </c>
      <c r="D1421" t="s">
        <v>1481</v>
      </c>
      <c r="E1421" t="s">
        <v>92</v>
      </c>
      <c r="F1421" t="s">
        <v>91</v>
      </c>
      <c r="G1421" s="14">
        <v>13351.86</v>
      </c>
      <c r="H1421">
        <v>1445</v>
      </c>
      <c r="I1421">
        <v>9.24</v>
      </c>
      <c r="J1421">
        <v>13351.86</v>
      </c>
    </row>
    <row r="1422" spans="1:10" hidden="1" x14ac:dyDescent="0.25">
      <c r="A1422" t="s">
        <v>533</v>
      </c>
      <c r="B1422" t="s">
        <v>88</v>
      </c>
      <c r="C1422" s="1">
        <v>45911</v>
      </c>
      <c r="D1422" t="s">
        <v>1482</v>
      </c>
      <c r="E1422" t="s">
        <v>653</v>
      </c>
      <c r="F1422" t="s">
        <v>117</v>
      </c>
      <c r="G1422" s="14">
        <v>8833.4699999999993</v>
      </c>
      <c r="H1422">
        <v>1445</v>
      </c>
      <c r="I1422">
        <v>6.11</v>
      </c>
      <c r="J1422">
        <v>10688.5</v>
      </c>
    </row>
    <row r="1423" spans="1:10" hidden="1" x14ac:dyDescent="0.25">
      <c r="A1423" t="s">
        <v>533</v>
      </c>
      <c r="B1423" t="s">
        <v>88</v>
      </c>
      <c r="C1423" s="1">
        <v>45911</v>
      </c>
      <c r="D1423" t="s">
        <v>1482</v>
      </c>
      <c r="E1423" t="s">
        <v>1000</v>
      </c>
      <c r="F1423" t="s">
        <v>117</v>
      </c>
      <c r="G1423" s="14">
        <v>11.5</v>
      </c>
      <c r="H1423">
        <v>1445</v>
      </c>
      <c r="I1423">
        <v>0.01</v>
      </c>
      <c r="J1423">
        <v>11.5</v>
      </c>
    </row>
    <row r="1424" spans="1:10" hidden="1" x14ac:dyDescent="0.25">
      <c r="A1424" t="s">
        <v>998</v>
      </c>
      <c r="B1424" t="s">
        <v>263</v>
      </c>
      <c r="C1424" s="1">
        <v>45910</v>
      </c>
      <c r="D1424" t="s">
        <v>999</v>
      </c>
      <c r="E1424" t="s">
        <v>1000</v>
      </c>
      <c r="F1424" t="s">
        <v>117</v>
      </c>
      <c r="G1424" s="14">
        <v>6300</v>
      </c>
      <c r="H1424">
        <v>1435</v>
      </c>
      <c r="I1424">
        <v>4.3899999999999997</v>
      </c>
      <c r="J1424">
        <v>6300</v>
      </c>
    </row>
    <row r="1425" spans="1:10" hidden="1" x14ac:dyDescent="0.25">
      <c r="A1425" t="s">
        <v>1094</v>
      </c>
      <c r="B1425" t="s">
        <v>88</v>
      </c>
      <c r="C1425" s="1">
        <v>45910</v>
      </c>
      <c r="D1425" t="s">
        <v>1095</v>
      </c>
      <c r="E1425" t="s">
        <v>653</v>
      </c>
      <c r="F1425" t="s">
        <v>117</v>
      </c>
      <c r="G1425" s="14">
        <v>27272.73</v>
      </c>
      <c r="H1425">
        <v>1435</v>
      </c>
      <c r="I1425">
        <v>19.010000000000002</v>
      </c>
      <c r="J1425">
        <v>33000</v>
      </c>
    </row>
    <row r="1426" spans="1:10" hidden="1" x14ac:dyDescent="0.25">
      <c r="A1426" t="s">
        <v>1234</v>
      </c>
      <c r="B1426" t="s">
        <v>88</v>
      </c>
      <c r="C1426" s="1">
        <v>45910</v>
      </c>
      <c r="D1426" t="s">
        <v>1235</v>
      </c>
      <c r="E1426" t="s">
        <v>653</v>
      </c>
      <c r="F1426" t="s">
        <v>117</v>
      </c>
      <c r="G1426" s="14">
        <v>24793.39</v>
      </c>
      <c r="H1426">
        <v>1435</v>
      </c>
      <c r="I1426">
        <v>17.28</v>
      </c>
      <c r="J1426">
        <v>30000</v>
      </c>
    </row>
    <row r="1427" spans="1:10" hidden="1" x14ac:dyDescent="0.25">
      <c r="A1427" t="s">
        <v>226</v>
      </c>
      <c r="B1427" t="s">
        <v>88</v>
      </c>
      <c r="C1427" s="1">
        <v>45908</v>
      </c>
      <c r="D1427" t="s">
        <v>1064</v>
      </c>
      <c r="E1427" t="s">
        <v>232</v>
      </c>
      <c r="F1427" t="s">
        <v>109</v>
      </c>
      <c r="G1427" s="14">
        <v>4707.41</v>
      </c>
      <c r="H1427">
        <v>1425</v>
      </c>
      <c r="I1427">
        <v>3.3</v>
      </c>
      <c r="J1427">
        <v>5978.41</v>
      </c>
    </row>
    <row r="1428" spans="1:10" hidden="1" x14ac:dyDescent="0.25">
      <c r="A1428" t="s">
        <v>226</v>
      </c>
      <c r="B1428" t="s">
        <v>88</v>
      </c>
      <c r="C1428" s="1">
        <v>45908</v>
      </c>
      <c r="D1428" t="s">
        <v>1064</v>
      </c>
      <c r="E1428" t="s">
        <v>233</v>
      </c>
      <c r="F1428" t="s">
        <v>109</v>
      </c>
      <c r="G1428" s="14">
        <v>612</v>
      </c>
      <c r="H1428">
        <v>1425</v>
      </c>
      <c r="I1428">
        <v>0.43</v>
      </c>
      <c r="J1428">
        <v>612</v>
      </c>
    </row>
    <row r="1429" spans="1:10" hidden="1" x14ac:dyDescent="0.25">
      <c r="A1429" t="s">
        <v>226</v>
      </c>
      <c r="B1429" t="s">
        <v>88</v>
      </c>
      <c r="C1429" s="1">
        <v>45908</v>
      </c>
      <c r="D1429" t="s">
        <v>1065</v>
      </c>
      <c r="E1429" t="s">
        <v>232</v>
      </c>
      <c r="F1429" t="s">
        <v>109</v>
      </c>
      <c r="G1429" s="14">
        <v>4707.41</v>
      </c>
      <c r="H1429">
        <v>1425</v>
      </c>
      <c r="I1429">
        <v>3.3</v>
      </c>
      <c r="J1429">
        <v>5978.41</v>
      </c>
    </row>
    <row r="1430" spans="1:10" hidden="1" x14ac:dyDescent="0.25">
      <c r="A1430" t="s">
        <v>226</v>
      </c>
      <c r="B1430" t="s">
        <v>88</v>
      </c>
      <c r="C1430" s="1">
        <v>45908</v>
      </c>
      <c r="D1430" t="s">
        <v>1065</v>
      </c>
      <c r="E1430" t="s">
        <v>233</v>
      </c>
      <c r="F1430" t="s">
        <v>109</v>
      </c>
      <c r="G1430" s="14">
        <v>612</v>
      </c>
      <c r="H1430">
        <v>1425</v>
      </c>
      <c r="I1430">
        <v>0.43</v>
      </c>
      <c r="J1430">
        <v>612</v>
      </c>
    </row>
    <row r="1431" spans="1:10" hidden="1" x14ac:dyDescent="0.25">
      <c r="A1431" t="s">
        <v>246</v>
      </c>
      <c r="B1431" t="s">
        <v>88</v>
      </c>
      <c r="C1431" s="1">
        <v>45908</v>
      </c>
      <c r="D1431" t="s">
        <v>1075</v>
      </c>
      <c r="E1431" t="s">
        <v>114</v>
      </c>
      <c r="F1431" t="s">
        <v>117</v>
      </c>
      <c r="G1431" s="14">
        <v>6655.89</v>
      </c>
      <c r="H1431">
        <v>1425</v>
      </c>
      <c r="I1431">
        <v>4.67</v>
      </c>
      <c r="J1431">
        <v>8053.63</v>
      </c>
    </row>
    <row r="1432" spans="1:10" hidden="1" x14ac:dyDescent="0.25">
      <c r="A1432" t="s">
        <v>364</v>
      </c>
      <c r="B1432" t="s">
        <v>88</v>
      </c>
      <c r="C1432" s="1">
        <v>45907</v>
      </c>
      <c r="D1432" t="s">
        <v>1185</v>
      </c>
      <c r="E1432" t="s">
        <v>102</v>
      </c>
      <c r="F1432" t="s">
        <v>109</v>
      </c>
      <c r="G1432" s="14">
        <v>12000</v>
      </c>
      <c r="H1432">
        <v>1380</v>
      </c>
      <c r="I1432">
        <v>8.6999999999999993</v>
      </c>
      <c r="J1432">
        <v>12000</v>
      </c>
    </row>
    <row r="1433" spans="1:10" hidden="1" x14ac:dyDescent="0.25">
      <c r="A1433" t="s">
        <v>346</v>
      </c>
      <c r="B1433" t="s">
        <v>88</v>
      </c>
      <c r="C1433" s="1">
        <v>45905</v>
      </c>
      <c r="D1433" t="s">
        <v>1167</v>
      </c>
      <c r="E1433" t="s">
        <v>90</v>
      </c>
      <c r="F1433" t="s">
        <v>117</v>
      </c>
      <c r="G1433" s="14">
        <v>57594.54</v>
      </c>
      <c r="H1433">
        <v>1380</v>
      </c>
      <c r="I1433">
        <v>41.74</v>
      </c>
      <c r="J1433">
        <v>69689.399999999994</v>
      </c>
    </row>
    <row r="1434" spans="1:10" hidden="1" x14ac:dyDescent="0.25">
      <c r="A1434" t="s">
        <v>346</v>
      </c>
      <c r="B1434" t="s">
        <v>88</v>
      </c>
      <c r="C1434" s="1">
        <v>45905</v>
      </c>
      <c r="D1434" t="s">
        <v>1167</v>
      </c>
      <c r="E1434" t="s">
        <v>92</v>
      </c>
      <c r="F1434" t="s">
        <v>117</v>
      </c>
      <c r="G1434" s="14">
        <v>10469.84</v>
      </c>
      <c r="H1434">
        <v>1380</v>
      </c>
      <c r="I1434">
        <v>7.59</v>
      </c>
      <c r="J1434">
        <v>10469.84</v>
      </c>
    </row>
    <row r="1435" spans="1:10" hidden="1" x14ac:dyDescent="0.25">
      <c r="A1435" t="s">
        <v>501</v>
      </c>
      <c r="B1435" t="s">
        <v>88</v>
      </c>
      <c r="C1435" s="1">
        <v>45905</v>
      </c>
      <c r="D1435" t="s">
        <v>1405</v>
      </c>
      <c r="E1435" t="s">
        <v>205</v>
      </c>
      <c r="F1435" t="s">
        <v>109</v>
      </c>
      <c r="G1435" s="14">
        <v>218287.2</v>
      </c>
      <c r="H1435">
        <v>1380</v>
      </c>
      <c r="I1435">
        <v>158.18</v>
      </c>
      <c r="J1435">
        <v>264127.51</v>
      </c>
    </row>
    <row r="1436" spans="1:10" hidden="1" x14ac:dyDescent="0.25">
      <c r="A1436" t="s">
        <v>175</v>
      </c>
      <c r="B1436" t="s">
        <v>88</v>
      </c>
      <c r="C1436" s="1">
        <v>45904</v>
      </c>
      <c r="D1436" t="s">
        <v>1022</v>
      </c>
      <c r="E1436" t="s">
        <v>177</v>
      </c>
      <c r="F1436" t="s">
        <v>109</v>
      </c>
      <c r="G1436" s="14">
        <v>65546.179999999993</v>
      </c>
      <c r="H1436">
        <v>1375</v>
      </c>
      <c r="I1436">
        <v>47.67</v>
      </c>
      <c r="J1436">
        <v>83243.649999999994</v>
      </c>
    </row>
    <row r="1437" spans="1:10" hidden="1" x14ac:dyDescent="0.25">
      <c r="A1437" t="s">
        <v>175</v>
      </c>
      <c r="B1437" t="s">
        <v>88</v>
      </c>
      <c r="C1437" s="1">
        <v>45904</v>
      </c>
      <c r="D1437" t="s">
        <v>1022</v>
      </c>
      <c r="E1437" t="s">
        <v>180</v>
      </c>
      <c r="F1437" t="s">
        <v>109</v>
      </c>
      <c r="G1437" s="14">
        <v>2179.64</v>
      </c>
      <c r="H1437">
        <v>1375</v>
      </c>
      <c r="I1437">
        <v>1.59</v>
      </c>
      <c r="J1437">
        <v>2179.64</v>
      </c>
    </row>
    <row r="1438" spans="1:10" hidden="1" x14ac:dyDescent="0.25">
      <c r="A1438" t="s">
        <v>1130</v>
      </c>
      <c r="B1438" t="s">
        <v>88</v>
      </c>
      <c r="C1438" s="1">
        <v>45904</v>
      </c>
      <c r="D1438" t="s">
        <v>1132</v>
      </c>
      <c r="E1438" t="s">
        <v>731</v>
      </c>
      <c r="F1438" t="s">
        <v>1111</v>
      </c>
      <c r="G1438" s="14">
        <v>209090.91</v>
      </c>
      <c r="H1438">
        <v>1375</v>
      </c>
      <c r="I1438">
        <v>152.07</v>
      </c>
      <c r="J1438">
        <v>253000</v>
      </c>
    </row>
    <row r="1439" spans="1:10" hidden="1" x14ac:dyDescent="0.25">
      <c r="A1439" t="s">
        <v>383</v>
      </c>
      <c r="B1439" t="s">
        <v>88</v>
      </c>
      <c r="C1439" s="1">
        <v>45904</v>
      </c>
      <c r="D1439" t="s">
        <v>1202</v>
      </c>
      <c r="E1439" t="s">
        <v>136</v>
      </c>
      <c r="F1439" t="s">
        <v>135</v>
      </c>
      <c r="G1439" s="14">
        <v>266997</v>
      </c>
      <c r="H1439">
        <v>1375</v>
      </c>
      <c r="I1439">
        <v>194.18</v>
      </c>
      <c r="J1439">
        <v>323066.37</v>
      </c>
    </row>
    <row r="1440" spans="1:10" hidden="1" x14ac:dyDescent="0.25">
      <c r="A1440" t="s">
        <v>289</v>
      </c>
      <c r="B1440" t="s">
        <v>88</v>
      </c>
      <c r="C1440" s="1">
        <v>45903</v>
      </c>
      <c r="D1440" t="s">
        <v>1121</v>
      </c>
      <c r="E1440" t="s">
        <v>138</v>
      </c>
      <c r="F1440" t="s">
        <v>139</v>
      </c>
      <c r="G1440" s="14">
        <v>181944</v>
      </c>
      <c r="H1440">
        <v>1375</v>
      </c>
      <c r="I1440">
        <v>132.32</v>
      </c>
      <c r="J1440">
        <v>220152.24</v>
      </c>
    </row>
    <row r="1441" spans="1:10" hidden="1" x14ac:dyDescent="0.25">
      <c r="A1441" t="s">
        <v>1130</v>
      </c>
      <c r="B1441" t="s">
        <v>88</v>
      </c>
      <c r="C1441" s="1">
        <v>45903</v>
      </c>
      <c r="D1441" t="s">
        <v>1131</v>
      </c>
      <c r="E1441" t="s">
        <v>205</v>
      </c>
      <c r="F1441" t="s">
        <v>1111</v>
      </c>
      <c r="G1441" s="14">
        <v>253000</v>
      </c>
      <c r="H1441">
        <v>1375</v>
      </c>
      <c r="I1441">
        <v>184</v>
      </c>
      <c r="J1441">
        <v>306130</v>
      </c>
    </row>
    <row r="1442" spans="1:10" hidden="1" x14ac:dyDescent="0.25">
      <c r="A1442" t="s">
        <v>1130</v>
      </c>
      <c r="B1442" t="s">
        <v>199</v>
      </c>
      <c r="C1442" s="1">
        <v>45903</v>
      </c>
      <c r="D1442" t="s">
        <v>1133</v>
      </c>
      <c r="E1442" t="s">
        <v>731</v>
      </c>
      <c r="F1442" t="s">
        <v>1111</v>
      </c>
      <c r="G1442" s="14">
        <v>-253000</v>
      </c>
      <c r="H1442">
        <v>1375</v>
      </c>
      <c r="I1442">
        <v>-184</v>
      </c>
      <c r="J1442">
        <v>-306130</v>
      </c>
    </row>
    <row r="1443" spans="1:10" hidden="1" x14ac:dyDescent="0.25">
      <c r="A1443" t="s">
        <v>443</v>
      </c>
      <c r="B1443" t="s">
        <v>88</v>
      </c>
      <c r="C1443" s="1">
        <v>45903</v>
      </c>
      <c r="D1443" t="s">
        <v>1307</v>
      </c>
      <c r="E1443" t="s">
        <v>90</v>
      </c>
      <c r="F1443" t="s">
        <v>91</v>
      </c>
      <c r="G1443" s="14">
        <v>56879.96</v>
      </c>
      <c r="H1443">
        <v>1375</v>
      </c>
      <c r="I1443">
        <v>41.37</v>
      </c>
      <c r="J1443">
        <v>68824.759999999995</v>
      </c>
    </row>
    <row r="1444" spans="1:10" hidden="1" x14ac:dyDescent="0.25">
      <c r="A1444" t="s">
        <v>443</v>
      </c>
      <c r="B1444" t="s">
        <v>88</v>
      </c>
      <c r="C1444" s="1">
        <v>45903</v>
      </c>
      <c r="D1444" t="s">
        <v>1307</v>
      </c>
      <c r="E1444" t="s">
        <v>92</v>
      </c>
      <c r="F1444" t="s">
        <v>91</v>
      </c>
      <c r="G1444" s="14">
        <v>13176.33</v>
      </c>
      <c r="H1444">
        <v>1375</v>
      </c>
      <c r="I1444">
        <v>9.58</v>
      </c>
      <c r="J1444">
        <v>13176.33</v>
      </c>
    </row>
    <row r="1445" spans="1:10" hidden="1" x14ac:dyDescent="0.25">
      <c r="A1445" t="s">
        <v>453</v>
      </c>
      <c r="B1445" t="s">
        <v>88</v>
      </c>
      <c r="C1445" s="1">
        <v>45903</v>
      </c>
      <c r="D1445" t="s">
        <v>1324</v>
      </c>
      <c r="E1445" t="s">
        <v>136</v>
      </c>
      <c r="F1445" t="s">
        <v>6</v>
      </c>
      <c r="G1445" s="14">
        <v>335977.8</v>
      </c>
      <c r="H1445">
        <v>1375</v>
      </c>
      <c r="I1445">
        <v>244.35</v>
      </c>
      <c r="J1445">
        <v>406533.14</v>
      </c>
    </row>
    <row r="1446" spans="1:10" hidden="1" x14ac:dyDescent="0.25">
      <c r="A1446" t="s">
        <v>504</v>
      </c>
      <c r="B1446" t="s">
        <v>88</v>
      </c>
      <c r="C1446" s="1">
        <v>45903</v>
      </c>
      <c r="D1446" t="s">
        <v>1420</v>
      </c>
      <c r="E1446" t="s">
        <v>422</v>
      </c>
      <c r="F1446" t="s">
        <v>109</v>
      </c>
      <c r="G1446" s="14">
        <v>48908</v>
      </c>
      <c r="H1446">
        <v>1375</v>
      </c>
      <c r="I1446">
        <v>35.57</v>
      </c>
      <c r="J1446">
        <v>59178.68</v>
      </c>
    </row>
    <row r="1447" spans="1:10" hidden="1" x14ac:dyDescent="0.25">
      <c r="A1447" t="s">
        <v>515</v>
      </c>
      <c r="B1447" t="s">
        <v>88</v>
      </c>
      <c r="C1447" s="1">
        <v>45903</v>
      </c>
      <c r="D1447" t="s">
        <v>1447</v>
      </c>
      <c r="E1447" t="s">
        <v>184</v>
      </c>
      <c r="F1447" t="s">
        <v>135</v>
      </c>
      <c r="G1447" s="14">
        <v>26212</v>
      </c>
      <c r="H1447">
        <v>1375</v>
      </c>
      <c r="I1447">
        <v>19.059999999999999</v>
      </c>
      <c r="J1447">
        <v>31716.52</v>
      </c>
    </row>
    <row r="1448" spans="1:10" hidden="1" x14ac:dyDescent="0.25">
      <c r="A1448" t="s">
        <v>533</v>
      </c>
      <c r="B1448" t="s">
        <v>88</v>
      </c>
      <c r="C1448" s="1">
        <v>45903</v>
      </c>
      <c r="D1448" t="s">
        <v>1475</v>
      </c>
      <c r="E1448" t="s">
        <v>90</v>
      </c>
      <c r="F1448" t="s">
        <v>91</v>
      </c>
      <c r="G1448" s="14">
        <v>52106.35</v>
      </c>
      <c r="H1448">
        <v>1375</v>
      </c>
      <c r="I1448">
        <v>37.9</v>
      </c>
      <c r="J1448">
        <v>63048.69</v>
      </c>
    </row>
    <row r="1449" spans="1:10" hidden="1" x14ac:dyDescent="0.25">
      <c r="A1449" t="s">
        <v>533</v>
      </c>
      <c r="B1449" t="s">
        <v>88</v>
      </c>
      <c r="C1449" s="1">
        <v>45903</v>
      </c>
      <c r="D1449" t="s">
        <v>1475</v>
      </c>
      <c r="E1449" t="s">
        <v>92</v>
      </c>
      <c r="F1449" t="s">
        <v>91</v>
      </c>
      <c r="G1449" s="14">
        <v>9951.2900000000009</v>
      </c>
      <c r="H1449">
        <v>1375</v>
      </c>
      <c r="I1449">
        <v>7.24</v>
      </c>
      <c r="J1449">
        <v>9951.2900000000009</v>
      </c>
    </row>
    <row r="1450" spans="1:10" hidden="1" x14ac:dyDescent="0.25">
      <c r="A1450" t="s">
        <v>106</v>
      </c>
      <c r="B1450" t="s">
        <v>88</v>
      </c>
      <c r="C1450" s="1">
        <v>45902</v>
      </c>
      <c r="D1450" t="s">
        <v>952</v>
      </c>
      <c r="E1450" t="s">
        <v>108</v>
      </c>
      <c r="F1450" t="s">
        <v>109</v>
      </c>
      <c r="G1450" s="14">
        <v>54556</v>
      </c>
      <c r="H1450">
        <v>1375</v>
      </c>
      <c r="I1450">
        <v>39.68</v>
      </c>
      <c r="J1450">
        <v>54556</v>
      </c>
    </row>
    <row r="1451" spans="1:10" hidden="1" x14ac:dyDescent="0.25">
      <c r="A1451" t="s">
        <v>1263</v>
      </c>
      <c r="B1451" t="s">
        <v>88</v>
      </c>
      <c r="C1451" s="1">
        <v>45902</v>
      </c>
      <c r="D1451" t="s">
        <v>1264</v>
      </c>
      <c r="E1451" t="s">
        <v>102</v>
      </c>
      <c r="F1451" t="s">
        <v>621</v>
      </c>
      <c r="G1451" s="14">
        <v>4200</v>
      </c>
      <c r="H1451">
        <v>1375</v>
      </c>
      <c r="I1451">
        <v>3.05</v>
      </c>
      <c r="J1451">
        <v>4200</v>
      </c>
    </row>
    <row r="1452" spans="1:10" hidden="1" x14ac:dyDescent="0.25">
      <c r="A1452" t="s">
        <v>95</v>
      </c>
      <c r="B1452" t="s">
        <v>96</v>
      </c>
      <c r="C1452" s="1">
        <v>45901</v>
      </c>
      <c r="D1452" t="s">
        <v>947</v>
      </c>
      <c r="E1452" t="s">
        <v>98</v>
      </c>
      <c r="F1452" t="s">
        <v>99</v>
      </c>
      <c r="G1452" s="14">
        <v>27133.9</v>
      </c>
      <c r="H1452">
        <v>1385</v>
      </c>
      <c r="I1452">
        <v>19.59</v>
      </c>
      <c r="J1452">
        <v>27133.9</v>
      </c>
    </row>
    <row r="1453" spans="1:10" hidden="1" x14ac:dyDescent="0.25">
      <c r="A1453" t="s">
        <v>112</v>
      </c>
      <c r="B1453" t="s">
        <v>88</v>
      </c>
      <c r="C1453" s="1">
        <v>45901</v>
      </c>
      <c r="D1453" t="s">
        <v>958</v>
      </c>
      <c r="E1453" t="s">
        <v>114</v>
      </c>
      <c r="F1453" t="s">
        <v>117</v>
      </c>
      <c r="G1453" s="14">
        <v>2542.1799999999998</v>
      </c>
      <c r="H1453">
        <v>1385</v>
      </c>
      <c r="I1453">
        <v>1.84</v>
      </c>
      <c r="J1453">
        <v>3076.04</v>
      </c>
    </row>
    <row r="1454" spans="1:10" hidden="1" x14ac:dyDescent="0.25">
      <c r="A1454" t="s">
        <v>132</v>
      </c>
      <c r="B1454" t="s">
        <v>88</v>
      </c>
      <c r="C1454" s="1">
        <v>45901</v>
      </c>
      <c r="D1454" t="s">
        <v>973</v>
      </c>
      <c r="E1454" t="s">
        <v>136</v>
      </c>
      <c r="F1454" t="s">
        <v>135</v>
      </c>
      <c r="G1454" s="14">
        <v>4000</v>
      </c>
      <c r="H1454">
        <v>1385</v>
      </c>
      <c r="I1454">
        <v>2.89</v>
      </c>
      <c r="J1454">
        <v>4840</v>
      </c>
    </row>
    <row r="1455" spans="1:10" hidden="1" x14ac:dyDescent="0.25">
      <c r="A1455" t="s">
        <v>149</v>
      </c>
      <c r="B1455" t="s">
        <v>88</v>
      </c>
      <c r="C1455" s="1">
        <v>45901</v>
      </c>
      <c r="D1455" t="s">
        <v>993</v>
      </c>
      <c r="E1455" t="s">
        <v>152</v>
      </c>
      <c r="F1455" t="s">
        <v>475</v>
      </c>
      <c r="G1455" s="14">
        <v>40704.800000000003</v>
      </c>
      <c r="H1455">
        <v>1385</v>
      </c>
      <c r="I1455">
        <v>29.39</v>
      </c>
      <c r="J1455">
        <v>49252.81</v>
      </c>
    </row>
    <row r="1456" spans="1:10" hidden="1" x14ac:dyDescent="0.25">
      <c r="A1456" t="s">
        <v>149</v>
      </c>
      <c r="B1456" t="s">
        <v>88</v>
      </c>
      <c r="C1456" s="1">
        <v>45901</v>
      </c>
      <c r="D1456" t="s">
        <v>993</v>
      </c>
      <c r="E1456" t="s">
        <v>153</v>
      </c>
      <c r="F1456" t="s">
        <v>475</v>
      </c>
      <c r="G1456" s="14">
        <v>1101.5999999999999</v>
      </c>
      <c r="H1456">
        <v>1385</v>
      </c>
      <c r="I1456">
        <v>0.8</v>
      </c>
      <c r="J1456">
        <v>1101.5999999999999</v>
      </c>
    </row>
    <row r="1457" spans="1:10" hidden="1" x14ac:dyDescent="0.25">
      <c r="A1457" t="s">
        <v>265</v>
      </c>
      <c r="B1457" t="s">
        <v>88</v>
      </c>
      <c r="C1457" s="1">
        <v>45901</v>
      </c>
      <c r="D1457" t="s">
        <v>1104</v>
      </c>
      <c r="E1457" t="s">
        <v>267</v>
      </c>
      <c r="F1457" t="s">
        <v>109</v>
      </c>
      <c r="G1457" s="14">
        <v>77800</v>
      </c>
      <c r="H1457">
        <v>1385</v>
      </c>
      <c r="I1457">
        <v>56.17</v>
      </c>
      <c r="J1457">
        <v>94138</v>
      </c>
    </row>
    <row r="1458" spans="1:10" hidden="1" x14ac:dyDescent="0.25">
      <c r="A1458" t="s">
        <v>275</v>
      </c>
      <c r="B1458" t="s">
        <v>88</v>
      </c>
      <c r="C1458" s="1">
        <v>45901</v>
      </c>
      <c r="D1458" t="s">
        <v>1113</v>
      </c>
      <c r="E1458" t="s">
        <v>90</v>
      </c>
      <c r="F1458" t="s">
        <v>91</v>
      </c>
      <c r="G1458" s="14">
        <v>696470.64</v>
      </c>
      <c r="H1458">
        <v>1385</v>
      </c>
      <c r="I1458">
        <v>502.87</v>
      </c>
      <c r="J1458">
        <v>842729.48</v>
      </c>
    </row>
    <row r="1459" spans="1:10" hidden="1" x14ac:dyDescent="0.25">
      <c r="A1459" t="s">
        <v>275</v>
      </c>
      <c r="B1459" t="s">
        <v>88</v>
      </c>
      <c r="C1459" s="1">
        <v>45901</v>
      </c>
      <c r="D1459" t="s">
        <v>1113</v>
      </c>
      <c r="E1459" t="s">
        <v>92</v>
      </c>
      <c r="F1459" t="s">
        <v>91</v>
      </c>
      <c r="G1459" s="14">
        <v>120587.99</v>
      </c>
      <c r="H1459">
        <v>1385</v>
      </c>
      <c r="I1459">
        <v>87.07</v>
      </c>
      <c r="J1459">
        <v>120587.99</v>
      </c>
    </row>
    <row r="1460" spans="1:10" hidden="1" x14ac:dyDescent="0.25">
      <c r="A1460" t="s">
        <v>353</v>
      </c>
      <c r="B1460" t="s">
        <v>88</v>
      </c>
      <c r="C1460" s="1">
        <v>45901</v>
      </c>
      <c r="D1460" t="s">
        <v>1177</v>
      </c>
      <c r="E1460" t="s">
        <v>114</v>
      </c>
      <c r="F1460" t="s">
        <v>117</v>
      </c>
      <c r="G1460" s="14">
        <v>577.76</v>
      </c>
      <c r="H1460">
        <v>1385</v>
      </c>
      <c r="I1460">
        <v>0.42</v>
      </c>
      <c r="J1460">
        <v>699.09</v>
      </c>
    </row>
    <row r="1461" spans="1:10" hidden="1" x14ac:dyDescent="0.25">
      <c r="A1461" t="s">
        <v>1251</v>
      </c>
      <c r="B1461" t="s">
        <v>88</v>
      </c>
      <c r="C1461" s="1">
        <v>45901</v>
      </c>
      <c r="D1461" t="s">
        <v>1252</v>
      </c>
      <c r="E1461" t="s">
        <v>136</v>
      </c>
      <c r="F1461" t="s">
        <v>14</v>
      </c>
      <c r="G1461" s="14">
        <v>62099.17</v>
      </c>
      <c r="H1461">
        <v>1385</v>
      </c>
      <c r="I1461">
        <v>44.84</v>
      </c>
      <c r="J1461">
        <v>75140</v>
      </c>
    </row>
    <row r="1462" spans="1:10" hidden="1" x14ac:dyDescent="0.25">
      <c r="A1462" t="s">
        <v>438</v>
      </c>
      <c r="B1462" t="s">
        <v>88</v>
      </c>
      <c r="C1462" s="1">
        <v>45901</v>
      </c>
      <c r="D1462" t="s">
        <v>1298</v>
      </c>
      <c r="E1462" t="s">
        <v>440</v>
      </c>
      <c r="F1462" t="s">
        <v>109</v>
      </c>
      <c r="G1462" s="14">
        <v>144000</v>
      </c>
      <c r="H1462">
        <v>1385</v>
      </c>
      <c r="I1462">
        <v>103.97</v>
      </c>
      <c r="J1462">
        <v>144000</v>
      </c>
    </row>
    <row r="1463" spans="1:10" hidden="1" x14ac:dyDescent="0.25">
      <c r="A1463" t="s">
        <v>478</v>
      </c>
      <c r="B1463" t="s">
        <v>88</v>
      </c>
      <c r="C1463" s="1">
        <v>45901</v>
      </c>
      <c r="D1463" t="s">
        <v>1358</v>
      </c>
      <c r="E1463" t="s">
        <v>267</v>
      </c>
      <c r="F1463" t="s">
        <v>109</v>
      </c>
      <c r="G1463" s="14">
        <v>17838.84</v>
      </c>
      <c r="H1463">
        <v>1385</v>
      </c>
      <c r="I1463">
        <v>12.88</v>
      </c>
      <c r="J1463">
        <v>21585</v>
      </c>
    </row>
    <row r="1464" spans="1:10" hidden="1" x14ac:dyDescent="0.25">
      <c r="A1464" t="s">
        <v>125</v>
      </c>
      <c r="B1464" t="s">
        <v>88</v>
      </c>
      <c r="C1464" s="1">
        <v>45900</v>
      </c>
      <c r="D1464" t="s">
        <v>971</v>
      </c>
      <c r="E1464" t="s">
        <v>114</v>
      </c>
      <c r="F1464" t="s">
        <v>117</v>
      </c>
      <c r="G1464" s="14">
        <v>2257.66</v>
      </c>
      <c r="H1464">
        <v>1360</v>
      </c>
      <c r="I1464">
        <v>1.66</v>
      </c>
      <c r="J1464">
        <v>2731.77</v>
      </c>
    </row>
    <row r="1465" spans="1:10" hidden="1" x14ac:dyDescent="0.25">
      <c r="A1465" t="s">
        <v>125</v>
      </c>
      <c r="B1465" t="s">
        <v>88</v>
      </c>
      <c r="C1465" s="1">
        <v>45900</v>
      </c>
      <c r="D1465" t="s">
        <v>971</v>
      </c>
      <c r="E1465" t="s">
        <v>127</v>
      </c>
      <c r="F1465" t="s">
        <v>117</v>
      </c>
      <c r="G1465" s="14">
        <v>225.77</v>
      </c>
      <c r="H1465">
        <v>1360</v>
      </c>
      <c r="I1465">
        <v>0.17</v>
      </c>
      <c r="J1465">
        <v>225.77</v>
      </c>
    </row>
    <row r="1466" spans="1:10" hidden="1" x14ac:dyDescent="0.25">
      <c r="A1466" t="s">
        <v>349</v>
      </c>
      <c r="B1466" t="s">
        <v>96</v>
      </c>
      <c r="C1466" s="1">
        <v>45900</v>
      </c>
      <c r="D1466" t="s">
        <v>1175</v>
      </c>
      <c r="E1466" t="s">
        <v>102</v>
      </c>
      <c r="F1466" t="s">
        <v>109</v>
      </c>
      <c r="G1466" s="14">
        <v>161769.29999999999</v>
      </c>
      <c r="H1466">
        <v>1360</v>
      </c>
      <c r="I1466">
        <v>118.95</v>
      </c>
      <c r="J1466">
        <v>161769.29999999999</v>
      </c>
    </row>
    <row r="1467" spans="1:10" hidden="1" x14ac:dyDescent="0.25">
      <c r="A1467" t="s">
        <v>1196</v>
      </c>
      <c r="B1467" t="s">
        <v>96</v>
      </c>
      <c r="C1467" s="1">
        <v>45900</v>
      </c>
      <c r="D1467" t="s">
        <v>1197</v>
      </c>
      <c r="E1467" t="s">
        <v>1198</v>
      </c>
      <c r="G1467" s="14">
        <v>20924414.02</v>
      </c>
      <c r="H1467">
        <v>1360</v>
      </c>
      <c r="I1467">
        <v>15385.6</v>
      </c>
      <c r="J1467">
        <v>20924414.02</v>
      </c>
    </row>
    <row r="1468" spans="1:10" hidden="1" x14ac:dyDescent="0.25">
      <c r="A1468" t="s">
        <v>436</v>
      </c>
      <c r="B1468" t="s">
        <v>88</v>
      </c>
      <c r="C1468" s="1">
        <v>45900</v>
      </c>
      <c r="D1468" t="s">
        <v>1295</v>
      </c>
      <c r="E1468" t="s">
        <v>205</v>
      </c>
      <c r="F1468" t="s">
        <v>206</v>
      </c>
      <c r="G1468" s="14">
        <v>23983.96</v>
      </c>
      <c r="H1468">
        <v>1360</v>
      </c>
      <c r="I1468">
        <v>17.64</v>
      </c>
      <c r="J1468">
        <v>29020.59</v>
      </c>
    </row>
    <row r="1469" spans="1:10" hidden="1" x14ac:dyDescent="0.25">
      <c r="A1469" t="s">
        <v>1396</v>
      </c>
      <c r="B1469" t="s">
        <v>96</v>
      </c>
      <c r="C1469" s="1">
        <v>45900</v>
      </c>
      <c r="D1469" t="s">
        <v>1197</v>
      </c>
      <c r="E1469" t="s">
        <v>1397</v>
      </c>
      <c r="G1469" s="14">
        <v>142859.69</v>
      </c>
      <c r="H1469">
        <v>1360</v>
      </c>
      <c r="I1469">
        <v>105.04</v>
      </c>
      <c r="J1469">
        <v>142859.69</v>
      </c>
    </row>
    <row r="1470" spans="1:10" hidden="1" x14ac:dyDescent="0.25">
      <c r="A1470" t="s">
        <v>483</v>
      </c>
      <c r="B1470" t="s">
        <v>88</v>
      </c>
      <c r="C1470" s="1">
        <v>45899</v>
      </c>
      <c r="D1470" t="s">
        <v>1382</v>
      </c>
      <c r="E1470" t="s">
        <v>136</v>
      </c>
      <c r="F1470" t="s">
        <v>135</v>
      </c>
      <c r="G1470" s="14">
        <v>81557.5</v>
      </c>
      <c r="H1470">
        <v>1360</v>
      </c>
      <c r="I1470">
        <v>59.97</v>
      </c>
      <c r="J1470">
        <v>98684.58</v>
      </c>
    </row>
    <row r="1471" spans="1:10" hidden="1" x14ac:dyDescent="0.25">
      <c r="A1471" t="s">
        <v>182</v>
      </c>
      <c r="B1471" t="s">
        <v>88</v>
      </c>
      <c r="C1471" s="1">
        <v>45898</v>
      </c>
      <c r="D1471" t="s">
        <v>1041</v>
      </c>
      <c r="E1471" t="s">
        <v>184</v>
      </c>
      <c r="F1471" t="s">
        <v>6</v>
      </c>
      <c r="G1471" s="14">
        <v>42140.46</v>
      </c>
      <c r="H1471">
        <v>1360</v>
      </c>
      <c r="I1471">
        <v>30.99</v>
      </c>
      <c r="J1471">
        <v>50989.96</v>
      </c>
    </row>
    <row r="1472" spans="1:10" hidden="1" x14ac:dyDescent="0.25">
      <c r="A1472" t="s">
        <v>182</v>
      </c>
      <c r="B1472" t="s">
        <v>88</v>
      </c>
      <c r="C1472" s="1">
        <v>45898</v>
      </c>
      <c r="D1472" t="s">
        <v>1042</v>
      </c>
      <c r="E1472" t="s">
        <v>184</v>
      </c>
      <c r="F1472" t="s">
        <v>6</v>
      </c>
      <c r="G1472" s="14">
        <v>14355.64</v>
      </c>
      <c r="H1472">
        <v>1360</v>
      </c>
      <c r="I1472">
        <v>10.56</v>
      </c>
      <c r="J1472">
        <v>17370.32</v>
      </c>
    </row>
    <row r="1473" spans="1:10" hidden="1" x14ac:dyDescent="0.25">
      <c r="A1473" t="s">
        <v>246</v>
      </c>
      <c r="B1473" t="s">
        <v>88</v>
      </c>
      <c r="C1473" s="1">
        <v>45898</v>
      </c>
      <c r="D1473" t="s">
        <v>1089</v>
      </c>
      <c r="E1473" t="s">
        <v>114</v>
      </c>
      <c r="F1473" t="s">
        <v>117</v>
      </c>
      <c r="G1473" s="14">
        <v>17679.72</v>
      </c>
      <c r="H1473">
        <v>1360</v>
      </c>
      <c r="I1473">
        <v>13</v>
      </c>
      <c r="J1473">
        <v>21392.46</v>
      </c>
    </row>
    <row r="1474" spans="1:10" hidden="1" x14ac:dyDescent="0.25">
      <c r="A1474" t="s">
        <v>336</v>
      </c>
      <c r="B1474" t="s">
        <v>88</v>
      </c>
      <c r="C1474" s="1">
        <v>45898</v>
      </c>
      <c r="D1474" t="s">
        <v>1163</v>
      </c>
      <c r="E1474" t="s">
        <v>205</v>
      </c>
      <c r="F1474" t="s">
        <v>1031</v>
      </c>
      <c r="G1474" s="14">
        <v>553000</v>
      </c>
      <c r="H1474">
        <v>1360</v>
      </c>
      <c r="I1474">
        <v>406.62</v>
      </c>
      <c r="J1474">
        <v>669130</v>
      </c>
    </row>
    <row r="1475" spans="1:10" hidden="1" x14ac:dyDescent="0.25">
      <c r="A1475" t="s">
        <v>426</v>
      </c>
      <c r="B1475" t="s">
        <v>88</v>
      </c>
      <c r="C1475" s="1">
        <v>45898</v>
      </c>
      <c r="D1475" t="s">
        <v>1289</v>
      </c>
      <c r="E1475" t="s">
        <v>136</v>
      </c>
      <c r="F1475" t="s">
        <v>135</v>
      </c>
      <c r="G1475" s="14">
        <v>315937.40999999997</v>
      </c>
      <c r="H1475">
        <v>1360</v>
      </c>
      <c r="I1475">
        <v>232.31</v>
      </c>
      <c r="J1475">
        <v>382284.27</v>
      </c>
    </row>
    <row r="1476" spans="1:10" hidden="1" x14ac:dyDescent="0.25">
      <c r="A1476" t="s">
        <v>455</v>
      </c>
      <c r="B1476" t="s">
        <v>88</v>
      </c>
      <c r="C1476" s="1">
        <v>45898</v>
      </c>
      <c r="D1476" t="s">
        <v>1333</v>
      </c>
      <c r="E1476" t="s">
        <v>136</v>
      </c>
      <c r="F1476" t="s">
        <v>6</v>
      </c>
      <c r="G1476" s="14">
        <v>334766.2</v>
      </c>
      <c r="H1476">
        <v>1360</v>
      </c>
      <c r="I1476">
        <v>246.15</v>
      </c>
      <c r="J1476">
        <v>405067.1</v>
      </c>
    </row>
    <row r="1477" spans="1:10" hidden="1" x14ac:dyDescent="0.25">
      <c r="A1477" t="s">
        <v>453</v>
      </c>
      <c r="B1477" t="s">
        <v>88</v>
      </c>
      <c r="C1477" s="1">
        <v>45897</v>
      </c>
      <c r="D1477" t="s">
        <v>1327</v>
      </c>
      <c r="E1477" t="s">
        <v>136</v>
      </c>
      <c r="F1477" t="s">
        <v>6</v>
      </c>
      <c r="G1477" s="14">
        <v>113240.4</v>
      </c>
      <c r="H1477">
        <v>1345</v>
      </c>
      <c r="I1477">
        <v>84.19</v>
      </c>
      <c r="J1477">
        <v>137020.88</v>
      </c>
    </row>
    <row r="1478" spans="1:10" hidden="1" x14ac:dyDescent="0.25">
      <c r="A1478" t="s">
        <v>515</v>
      </c>
      <c r="B1478" t="s">
        <v>88</v>
      </c>
      <c r="C1478" s="1">
        <v>45897</v>
      </c>
      <c r="D1478" t="s">
        <v>1465</v>
      </c>
      <c r="E1478" t="s">
        <v>184</v>
      </c>
      <c r="F1478" t="s">
        <v>135</v>
      </c>
      <c r="G1478" s="14">
        <v>12329</v>
      </c>
      <c r="H1478">
        <v>1345</v>
      </c>
      <c r="I1478">
        <v>9.17</v>
      </c>
      <c r="J1478">
        <v>14918.09</v>
      </c>
    </row>
    <row r="1479" spans="1:10" hidden="1" x14ac:dyDescent="0.25">
      <c r="A1479" t="s">
        <v>533</v>
      </c>
      <c r="B1479" t="s">
        <v>88</v>
      </c>
      <c r="C1479" s="1">
        <v>45897</v>
      </c>
      <c r="D1479" t="s">
        <v>1494</v>
      </c>
      <c r="E1479" t="s">
        <v>653</v>
      </c>
      <c r="F1479" t="s">
        <v>117</v>
      </c>
      <c r="G1479" s="14">
        <v>10682.74</v>
      </c>
      <c r="H1479">
        <v>1345</v>
      </c>
      <c r="I1479">
        <v>7.94</v>
      </c>
      <c r="J1479">
        <v>12926.12</v>
      </c>
    </row>
    <row r="1480" spans="1:10" hidden="1" x14ac:dyDescent="0.25">
      <c r="A1480" t="s">
        <v>533</v>
      </c>
      <c r="B1480" t="s">
        <v>88</v>
      </c>
      <c r="C1480" s="1">
        <v>45897</v>
      </c>
      <c r="D1480" t="s">
        <v>1494</v>
      </c>
      <c r="E1480" t="s">
        <v>1000</v>
      </c>
      <c r="F1480" t="s">
        <v>117</v>
      </c>
      <c r="G1480" s="14">
        <v>73.88</v>
      </c>
      <c r="H1480">
        <v>1345</v>
      </c>
      <c r="I1480">
        <v>0.05</v>
      </c>
      <c r="J1480">
        <v>73.88</v>
      </c>
    </row>
    <row r="1481" spans="1:10" hidden="1" x14ac:dyDescent="0.25">
      <c r="A1481" t="s">
        <v>161</v>
      </c>
      <c r="B1481" t="s">
        <v>88</v>
      </c>
      <c r="C1481" s="1">
        <v>45896</v>
      </c>
      <c r="D1481" t="s">
        <v>1014</v>
      </c>
      <c r="E1481" t="s">
        <v>136</v>
      </c>
      <c r="F1481" t="s">
        <v>6</v>
      </c>
      <c r="G1481" s="14">
        <v>436303.9</v>
      </c>
      <c r="H1481">
        <v>1360</v>
      </c>
      <c r="I1481">
        <v>320.81</v>
      </c>
      <c r="J1481">
        <v>527927.72</v>
      </c>
    </row>
    <row r="1482" spans="1:10" hidden="1" x14ac:dyDescent="0.25">
      <c r="A1482" t="s">
        <v>161</v>
      </c>
      <c r="B1482" t="s">
        <v>279</v>
      </c>
      <c r="C1482" s="1">
        <v>45896</v>
      </c>
      <c r="D1482" t="s">
        <v>1020</v>
      </c>
      <c r="E1482" t="s">
        <v>136</v>
      </c>
      <c r="F1482" t="s">
        <v>6</v>
      </c>
      <c r="G1482" s="14">
        <v>-426776.6</v>
      </c>
      <c r="H1482">
        <v>1360</v>
      </c>
      <c r="I1482">
        <v>-313.81</v>
      </c>
      <c r="J1482">
        <v>-516399.69</v>
      </c>
    </row>
    <row r="1483" spans="1:10" hidden="1" x14ac:dyDescent="0.25">
      <c r="A1483" t="s">
        <v>182</v>
      </c>
      <c r="B1483" t="s">
        <v>88</v>
      </c>
      <c r="C1483" s="1">
        <v>45896</v>
      </c>
      <c r="D1483" t="s">
        <v>1040</v>
      </c>
      <c r="E1483" t="s">
        <v>184</v>
      </c>
      <c r="F1483" t="s">
        <v>109</v>
      </c>
      <c r="G1483" s="14">
        <v>35000</v>
      </c>
      <c r="H1483">
        <v>1360</v>
      </c>
      <c r="I1483">
        <v>25.74</v>
      </c>
      <c r="J1483">
        <v>42350</v>
      </c>
    </row>
    <row r="1484" spans="1:10" hidden="1" x14ac:dyDescent="0.25">
      <c r="A1484" t="s">
        <v>216</v>
      </c>
      <c r="B1484" t="s">
        <v>88</v>
      </c>
      <c r="C1484" s="1">
        <v>45896</v>
      </c>
      <c r="D1484" t="s">
        <v>1054</v>
      </c>
      <c r="E1484" t="s">
        <v>653</v>
      </c>
      <c r="F1484" t="s">
        <v>117</v>
      </c>
      <c r="G1484" s="14">
        <v>41570.25</v>
      </c>
      <c r="H1484">
        <v>1360</v>
      </c>
      <c r="I1484">
        <v>30.57</v>
      </c>
      <c r="J1484">
        <v>50300</v>
      </c>
    </row>
    <row r="1485" spans="1:10" hidden="1" x14ac:dyDescent="0.25">
      <c r="A1485" t="s">
        <v>1134</v>
      </c>
      <c r="B1485" t="s">
        <v>88</v>
      </c>
      <c r="C1485" s="1">
        <v>45896</v>
      </c>
      <c r="D1485" t="s">
        <v>1135</v>
      </c>
      <c r="E1485" t="s">
        <v>90</v>
      </c>
      <c r="F1485" t="s">
        <v>91</v>
      </c>
      <c r="G1485" s="14">
        <v>55610.01</v>
      </c>
      <c r="H1485">
        <v>1360</v>
      </c>
      <c r="I1485">
        <v>40.89</v>
      </c>
      <c r="J1485">
        <v>67288.12</v>
      </c>
    </row>
    <row r="1486" spans="1:10" hidden="1" x14ac:dyDescent="0.25">
      <c r="A1486" t="s">
        <v>1134</v>
      </c>
      <c r="B1486" t="s">
        <v>88</v>
      </c>
      <c r="C1486" s="1">
        <v>45896</v>
      </c>
      <c r="D1486" t="s">
        <v>1135</v>
      </c>
      <c r="E1486" t="s">
        <v>92</v>
      </c>
      <c r="F1486" t="s">
        <v>91</v>
      </c>
      <c r="G1486" s="14">
        <v>10727.89</v>
      </c>
      <c r="H1486">
        <v>1360</v>
      </c>
      <c r="I1486">
        <v>7.89</v>
      </c>
      <c r="J1486">
        <v>10727.89</v>
      </c>
    </row>
    <row r="1487" spans="1:10" hidden="1" x14ac:dyDescent="0.25">
      <c r="A1487" t="s">
        <v>1352</v>
      </c>
      <c r="B1487" t="s">
        <v>88</v>
      </c>
      <c r="C1487" s="1">
        <v>45896</v>
      </c>
      <c r="D1487" t="s">
        <v>1356</v>
      </c>
      <c r="E1487" t="s">
        <v>731</v>
      </c>
      <c r="F1487" t="s">
        <v>1111</v>
      </c>
      <c r="G1487" s="14">
        <v>514823.08</v>
      </c>
      <c r="H1487">
        <v>1360</v>
      </c>
      <c r="I1487">
        <v>378.55</v>
      </c>
      <c r="J1487">
        <v>622935.93000000005</v>
      </c>
    </row>
    <row r="1488" spans="1:10" hidden="1" x14ac:dyDescent="0.25">
      <c r="A1488" t="s">
        <v>552</v>
      </c>
      <c r="B1488" t="s">
        <v>88</v>
      </c>
      <c r="C1488" s="1">
        <v>45896</v>
      </c>
      <c r="D1488" t="s">
        <v>1507</v>
      </c>
      <c r="E1488" t="s">
        <v>136</v>
      </c>
      <c r="F1488" t="s">
        <v>621</v>
      </c>
      <c r="G1488" s="14">
        <v>304185.95</v>
      </c>
      <c r="H1488">
        <v>1360</v>
      </c>
      <c r="I1488">
        <v>223.67</v>
      </c>
      <c r="J1488">
        <v>368065</v>
      </c>
    </row>
    <row r="1489" spans="1:10" hidden="1" x14ac:dyDescent="0.25">
      <c r="A1489" t="s">
        <v>684</v>
      </c>
      <c r="B1489" t="s">
        <v>88</v>
      </c>
      <c r="C1489" s="1">
        <v>45895</v>
      </c>
      <c r="D1489" t="s">
        <v>1110</v>
      </c>
      <c r="E1489" t="s">
        <v>686</v>
      </c>
      <c r="F1489" t="s">
        <v>1111</v>
      </c>
      <c r="G1489" s="14">
        <v>302000</v>
      </c>
      <c r="H1489">
        <v>1370</v>
      </c>
      <c r="I1489">
        <v>220.44</v>
      </c>
      <c r="J1489">
        <v>302000</v>
      </c>
    </row>
    <row r="1490" spans="1:10" hidden="1" x14ac:dyDescent="0.25">
      <c r="A1490" t="s">
        <v>316</v>
      </c>
      <c r="B1490" t="s">
        <v>88</v>
      </c>
      <c r="C1490" s="1">
        <v>45895</v>
      </c>
      <c r="D1490" t="s">
        <v>1143</v>
      </c>
      <c r="E1490" t="s">
        <v>136</v>
      </c>
      <c r="F1490" t="s">
        <v>6</v>
      </c>
      <c r="G1490" s="14">
        <v>16935.990000000002</v>
      </c>
      <c r="H1490">
        <v>1370</v>
      </c>
      <c r="I1490">
        <v>12.36</v>
      </c>
      <c r="J1490">
        <v>20492.55</v>
      </c>
    </row>
    <row r="1491" spans="1:10" hidden="1" x14ac:dyDescent="0.25">
      <c r="A1491" t="s">
        <v>316</v>
      </c>
      <c r="B1491" t="s">
        <v>88</v>
      </c>
      <c r="C1491" s="1">
        <v>45895</v>
      </c>
      <c r="D1491" t="s">
        <v>1144</v>
      </c>
      <c r="E1491" t="s">
        <v>136</v>
      </c>
      <c r="F1491" t="s">
        <v>6</v>
      </c>
      <c r="G1491" s="14">
        <v>33871.99</v>
      </c>
      <c r="H1491">
        <v>1370</v>
      </c>
      <c r="I1491">
        <v>24.72</v>
      </c>
      <c r="J1491">
        <v>40985.11</v>
      </c>
    </row>
    <row r="1492" spans="1:10" hidden="1" x14ac:dyDescent="0.25">
      <c r="A1492" t="s">
        <v>400</v>
      </c>
      <c r="B1492" t="s">
        <v>88</v>
      </c>
      <c r="C1492" s="1">
        <v>45895</v>
      </c>
      <c r="D1492" t="s">
        <v>1228</v>
      </c>
      <c r="E1492" t="s">
        <v>184</v>
      </c>
      <c r="F1492" t="s">
        <v>6</v>
      </c>
      <c r="G1492" s="14">
        <v>34565.339999999997</v>
      </c>
      <c r="H1492">
        <v>1370</v>
      </c>
      <c r="I1492">
        <v>25.23</v>
      </c>
      <c r="J1492">
        <v>41824.06</v>
      </c>
    </row>
    <row r="1493" spans="1:10" hidden="1" x14ac:dyDescent="0.25">
      <c r="A1493" t="s">
        <v>455</v>
      </c>
      <c r="B1493" t="s">
        <v>88</v>
      </c>
      <c r="C1493" s="1">
        <v>45895</v>
      </c>
      <c r="D1493" t="s">
        <v>1331</v>
      </c>
      <c r="E1493" t="s">
        <v>136</v>
      </c>
      <c r="F1493" t="s">
        <v>6</v>
      </c>
      <c r="G1493" s="14">
        <v>665018.54</v>
      </c>
      <c r="H1493">
        <v>1370</v>
      </c>
      <c r="I1493">
        <v>485.41</v>
      </c>
      <c r="J1493">
        <v>804672.43</v>
      </c>
    </row>
    <row r="1494" spans="1:10" hidden="1" x14ac:dyDescent="0.25">
      <c r="A1494" t="s">
        <v>1362</v>
      </c>
      <c r="B1494" t="s">
        <v>530</v>
      </c>
      <c r="C1494" s="1">
        <v>45895</v>
      </c>
      <c r="D1494" t="s">
        <v>1376</v>
      </c>
      <c r="E1494" t="s">
        <v>944</v>
      </c>
      <c r="F1494" t="s">
        <v>6</v>
      </c>
      <c r="G1494" s="14">
        <v>94260.59</v>
      </c>
      <c r="H1494">
        <v>1370</v>
      </c>
      <c r="I1494">
        <v>68.8</v>
      </c>
      <c r="J1494">
        <v>114055.31</v>
      </c>
    </row>
    <row r="1495" spans="1:10" hidden="1" x14ac:dyDescent="0.25">
      <c r="A1495" t="s">
        <v>486</v>
      </c>
      <c r="B1495" t="s">
        <v>88</v>
      </c>
      <c r="C1495" s="1">
        <v>45895</v>
      </c>
      <c r="D1495" t="s">
        <v>1385</v>
      </c>
      <c r="E1495" t="s">
        <v>90</v>
      </c>
      <c r="F1495" t="s">
        <v>91</v>
      </c>
      <c r="G1495" s="14">
        <v>61533.22</v>
      </c>
      <c r="H1495">
        <v>1370</v>
      </c>
      <c r="I1495">
        <v>44.91</v>
      </c>
      <c r="J1495">
        <v>74455.210000000006</v>
      </c>
    </row>
    <row r="1496" spans="1:10" hidden="1" x14ac:dyDescent="0.25">
      <c r="A1496" t="s">
        <v>486</v>
      </c>
      <c r="B1496" t="s">
        <v>88</v>
      </c>
      <c r="C1496" s="1">
        <v>45895</v>
      </c>
      <c r="D1496" t="s">
        <v>1385</v>
      </c>
      <c r="E1496" t="s">
        <v>92</v>
      </c>
      <c r="F1496" t="s">
        <v>91</v>
      </c>
      <c r="G1496" s="14">
        <v>14387.82</v>
      </c>
      <c r="H1496">
        <v>1370</v>
      </c>
      <c r="I1496">
        <v>10.5</v>
      </c>
      <c r="J1496">
        <v>14387.82</v>
      </c>
    </row>
    <row r="1497" spans="1:10" hidden="1" x14ac:dyDescent="0.25">
      <c r="A1497" t="s">
        <v>533</v>
      </c>
      <c r="B1497" t="s">
        <v>88</v>
      </c>
      <c r="C1497" s="1">
        <v>45895</v>
      </c>
      <c r="D1497" t="s">
        <v>1493</v>
      </c>
      <c r="E1497" t="s">
        <v>90</v>
      </c>
      <c r="F1497" t="s">
        <v>117</v>
      </c>
      <c r="G1497" s="14">
        <v>9360.43</v>
      </c>
      <c r="H1497">
        <v>1370</v>
      </c>
      <c r="I1497">
        <v>6.83</v>
      </c>
      <c r="J1497">
        <v>11326.13</v>
      </c>
    </row>
    <row r="1498" spans="1:10" hidden="1" x14ac:dyDescent="0.25">
      <c r="A1498" t="s">
        <v>533</v>
      </c>
      <c r="B1498" t="s">
        <v>88</v>
      </c>
      <c r="C1498" s="1">
        <v>45895</v>
      </c>
      <c r="D1498" t="s">
        <v>1493</v>
      </c>
      <c r="E1498" t="s">
        <v>92</v>
      </c>
      <c r="F1498" t="s">
        <v>117</v>
      </c>
      <c r="G1498" s="14">
        <v>73.88</v>
      </c>
      <c r="H1498">
        <v>1370</v>
      </c>
      <c r="I1498">
        <v>0.05</v>
      </c>
      <c r="J1498">
        <v>73.88</v>
      </c>
    </row>
    <row r="1499" spans="1:10" hidden="1" x14ac:dyDescent="0.25">
      <c r="A1499" t="s">
        <v>426</v>
      </c>
      <c r="B1499" t="s">
        <v>88</v>
      </c>
      <c r="C1499" s="1">
        <v>45894</v>
      </c>
      <c r="D1499" t="s">
        <v>1288</v>
      </c>
      <c r="E1499" t="s">
        <v>136</v>
      </c>
      <c r="F1499" t="s">
        <v>135</v>
      </c>
      <c r="G1499" s="14">
        <v>47024.47</v>
      </c>
      <c r="H1499">
        <v>1370</v>
      </c>
      <c r="I1499">
        <v>34.32</v>
      </c>
      <c r="J1499">
        <v>56899.61</v>
      </c>
    </row>
    <row r="1500" spans="1:10" hidden="1" x14ac:dyDescent="0.25">
      <c r="A1500" t="s">
        <v>443</v>
      </c>
      <c r="B1500" t="s">
        <v>88</v>
      </c>
      <c r="C1500" s="1">
        <v>45893</v>
      </c>
      <c r="D1500" t="s">
        <v>1314</v>
      </c>
      <c r="E1500" t="s">
        <v>90</v>
      </c>
      <c r="F1500" t="s">
        <v>91</v>
      </c>
      <c r="G1500" s="14">
        <v>55738.98</v>
      </c>
      <c r="H1500">
        <v>1335</v>
      </c>
      <c r="I1500">
        <v>41.75</v>
      </c>
      <c r="J1500">
        <v>67444.179999999993</v>
      </c>
    </row>
    <row r="1501" spans="1:10" hidden="1" x14ac:dyDescent="0.25">
      <c r="A1501" t="s">
        <v>443</v>
      </c>
      <c r="B1501" t="s">
        <v>88</v>
      </c>
      <c r="C1501" s="1">
        <v>45893</v>
      </c>
      <c r="D1501" t="s">
        <v>1314</v>
      </c>
      <c r="E1501" t="s">
        <v>92</v>
      </c>
      <c r="F1501" t="s">
        <v>91</v>
      </c>
      <c r="G1501" s="14">
        <v>12557.79</v>
      </c>
      <c r="H1501">
        <v>1335</v>
      </c>
      <c r="I1501">
        <v>9.41</v>
      </c>
      <c r="J1501">
        <v>12557.79</v>
      </c>
    </row>
    <row r="1502" spans="1:10" hidden="1" x14ac:dyDescent="0.25">
      <c r="A1502" t="s">
        <v>246</v>
      </c>
      <c r="B1502" t="s">
        <v>88</v>
      </c>
      <c r="C1502" s="1">
        <v>45891</v>
      </c>
      <c r="D1502" t="s">
        <v>1085</v>
      </c>
      <c r="E1502" t="s">
        <v>114</v>
      </c>
      <c r="F1502" t="s">
        <v>117</v>
      </c>
      <c r="G1502" s="14">
        <v>6447.89</v>
      </c>
      <c r="H1502">
        <v>1335</v>
      </c>
      <c r="I1502">
        <v>4.83</v>
      </c>
      <c r="J1502">
        <v>7801.95</v>
      </c>
    </row>
    <row r="1503" spans="1:10" hidden="1" x14ac:dyDescent="0.25">
      <c r="A1503" t="s">
        <v>336</v>
      </c>
      <c r="B1503" t="s">
        <v>88</v>
      </c>
      <c r="C1503" s="1">
        <v>45891</v>
      </c>
      <c r="D1503" t="s">
        <v>1162</v>
      </c>
      <c r="E1503" t="s">
        <v>205</v>
      </c>
      <c r="F1503" t="s">
        <v>105</v>
      </c>
      <c r="G1503" s="14">
        <v>207700</v>
      </c>
      <c r="H1503">
        <v>1335</v>
      </c>
      <c r="I1503">
        <v>155.58000000000001</v>
      </c>
      <c r="J1503">
        <v>251317</v>
      </c>
    </row>
    <row r="1504" spans="1:10" hidden="1" x14ac:dyDescent="0.25">
      <c r="A1504" t="s">
        <v>884</v>
      </c>
      <c r="B1504" t="s">
        <v>88</v>
      </c>
      <c r="C1504" s="1">
        <v>45891</v>
      </c>
      <c r="D1504" t="s">
        <v>1443</v>
      </c>
      <c r="E1504" t="s">
        <v>136</v>
      </c>
      <c r="F1504" t="s">
        <v>6</v>
      </c>
      <c r="G1504" s="14">
        <v>653482.5</v>
      </c>
      <c r="H1504">
        <v>1335</v>
      </c>
      <c r="I1504">
        <v>489.5</v>
      </c>
      <c r="J1504">
        <v>790713.83</v>
      </c>
    </row>
    <row r="1505" spans="1:10" hidden="1" x14ac:dyDescent="0.25">
      <c r="A1505" t="s">
        <v>1362</v>
      </c>
      <c r="B1505" t="s">
        <v>88</v>
      </c>
      <c r="C1505" s="1">
        <v>45890</v>
      </c>
      <c r="D1505" t="s">
        <v>1371</v>
      </c>
      <c r="E1505" t="s">
        <v>134</v>
      </c>
      <c r="F1505" t="s">
        <v>6</v>
      </c>
      <c r="G1505" s="14">
        <v>710810.1</v>
      </c>
      <c r="H1505">
        <v>1325</v>
      </c>
      <c r="I1505">
        <v>536.46</v>
      </c>
      <c r="J1505">
        <v>785445.16</v>
      </c>
    </row>
    <row r="1506" spans="1:10" hidden="1" x14ac:dyDescent="0.25">
      <c r="A1506" t="s">
        <v>1362</v>
      </c>
      <c r="B1506" t="s">
        <v>88</v>
      </c>
      <c r="C1506" s="1">
        <v>45890</v>
      </c>
      <c r="D1506" t="s">
        <v>1371</v>
      </c>
      <c r="E1506" t="s">
        <v>136</v>
      </c>
      <c r="F1506" t="s">
        <v>6</v>
      </c>
      <c r="G1506" s="14">
        <v>1155674.6100000001</v>
      </c>
      <c r="H1506">
        <v>1325</v>
      </c>
      <c r="I1506">
        <v>872.21</v>
      </c>
      <c r="J1506">
        <v>1398366.28</v>
      </c>
    </row>
    <row r="1507" spans="1:10" hidden="1" x14ac:dyDescent="0.25">
      <c r="A1507" t="s">
        <v>884</v>
      </c>
      <c r="B1507" t="s">
        <v>88</v>
      </c>
      <c r="C1507" s="1">
        <v>45890</v>
      </c>
      <c r="D1507" t="s">
        <v>1442</v>
      </c>
      <c r="E1507" t="s">
        <v>136</v>
      </c>
      <c r="F1507" t="s">
        <v>6</v>
      </c>
      <c r="G1507" s="14">
        <v>849060</v>
      </c>
      <c r="H1507">
        <v>1325</v>
      </c>
      <c r="I1507">
        <v>640.79999999999995</v>
      </c>
      <c r="J1507">
        <v>1027362.6</v>
      </c>
    </row>
    <row r="1508" spans="1:10" hidden="1" x14ac:dyDescent="0.25">
      <c r="A1508" t="s">
        <v>572</v>
      </c>
      <c r="B1508" t="s">
        <v>88</v>
      </c>
      <c r="C1508" s="1">
        <v>45889</v>
      </c>
      <c r="D1508" t="s">
        <v>946</v>
      </c>
      <c r="E1508" t="s">
        <v>90</v>
      </c>
      <c r="F1508" t="s">
        <v>91</v>
      </c>
      <c r="G1508" s="14">
        <v>176064.41</v>
      </c>
      <c r="H1508">
        <v>1315</v>
      </c>
      <c r="I1508">
        <v>133.88999999999999</v>
      </c>
      <c r="J1508">
        <v>213037.95</v>
      </c>
    </row>
    <row r="1509" spans="1:10" hidden="1" x14ac:dyDescent="0.25">
      <c r="A1509" t="s">
        <v>572</v>
      </c>
      <c r="B1509" t="s">
        <v>88</v>
      </c>
      <c r="C1509" s="1">
        <v>45889</v>
      </c>
      <c r="D1509" t="s">
        <v>946</v>
      </c>
      <c r="E1509" t="s">
        <v>92</v>
      </c>
      <c r="F1509" t="s">
        <v>91</v>
      </c>
      <c r="G1509" s="14">
        <v>29963.02</v>
      </c>
      <c r="H1509">
        <v>1315</v>
      </c>
      <c r="I1509">
        <v>22.79</v>
      </c>
      <c r="J1509">
        <v>29963.02</v>
      </c>
    </row>
    <row r="1510" spans="1:10" hidden="1" x14ac:dyDescent="0.25">
      <c r="A1510" t="s">
        <v>1352</v>
      </c>
      <c r="B1510" t="s">
        <v>88</v>
      </c>
      <c r="C1510" s="1">
        <v>45889</v>
      </c>
      <c r="D1510" t="s">
        <v>1355</v>
      </c>
      <c r="E1510" t="s">
        <v>731</v>
      </c>
      <c r="F1510" t="s">
        <v>1212</v>
      </c>
      <c r="G1510" s="14">
        <v>1465385.08</v>
      </c>
      <c r="H1510">
        <v>1315</v>
      </c>
      <c r="I1510">
        <v>1114.3599999999999</v>
      </c>
      <c r="J1510">
        <v>1773115.95</v>
      </c>
    </row>
    <row r="1511" spans="1:10" hidden="1" x14ac:dyDescent="0.25">
      <c r="A1511" t="s">
        <v>882</v>
      </c>
      <c r="B1511" t="s">
        <v>88</v>
      </c>
      <c r="C1511" s="1">
        <v>45889</v>
      </c>
      <c r="D1511" t="s">
        <v>1439</v>
      </c>
      <c r="E1511" t="s">
        <v>653</v>
      </c>
      <c r="F1511" t="s">
        <v>117</v>
      </c>
      <c r="G1511" s="14">
        <v>25867.77</v>
      </c>
      <c r="H1511">
        <v>1315</v>
      </c>
      <c r="I1511">
        <v>19.670000000000002</v>
      </c>
      <c r="J1511">
        <v>31300</v>
      </c>
    </row>
    <row r="1512" spans="1:10" hidden="1" x14ac:dyDescent="0.25">
      <c r="A1512" t="s">
        <v>515</v>
      </c>
      <c r="B1512" t="s">
        <v>88</v>
      </c>
      <c r="C1512" s="1">
        <v>45889</v>
      </c>
      <c r="D1512" t="s">
        <v>1456</v>
      </c>
      <c r="E1512" t="s">
        <v>184</v>
      </c>
      <c r="F1512" t="s">
        <v>6</v>
      </c>
      <c r="G1512" s="14">
        <v>72372</v>
      </c>
      <c r="H1512">
        <v>1315</v>
      </c>
      <c r="I1512">
        <v>55.04</v>
      </c>
      <c r="J1512">
        <v>87570.12</v>
      </c>
    </row>
    <row r="1513" spans="1:10" hidden="1" x14ac:dyDescent="0.25">
      <c r="A1513" t="s">
        <v>525</v>
      </c>
      <c r="B1513" t="s">
        <v>88</v>
      </c>
      <c r="C1513" s="1">
        <v>45889</v>
      </c>
      <c r="D1513" t="s">
        <v>1472</v>
      </c>
      <c r="E1513" t="s">
        <v>108</v>
      </c>
      <c r="F1513" t="s">
        <v>109</v>
      </c>
      <c r="G1513" s="14">
        <v>87000</v>
      </c>
      <c r="H1513">
        <v>1315</v>
      </c>
      <c r="I1513">
        <v>66.16</v>
      </c>
      <c r="J1513">
        <v>87000</v>
      </c>
    </row>
    <row r="1514" spans="1:10" hidden="1" x14ac:dyDescent="0.25">
      <c r="A1514" t="s">
        <v>552</v>
      </c>
      <c r="B1514" t="s">
        <v>88</v>
      </c>
      <c r="C1514" s="1">
        <v>45889</v>
      </c>
      <c r="D1514" t="s">
        <v>1503</v>
      </c>
      <c r="E1514" t="s">
        <v>136</v>
      </c>
      <c r="F1514" t="s">
        <v>14</v>
      </c>
      <c r="G1514" s="14">
        <v>276904.8</v>
      </c>
      <c r="H1514">
        <v>1315</v>
      </c>
      <c r="I1514">
        <v>210.57</v>
      </c>
      <c r="J1514">
        <v>335054.81</v>
      </c>
    </row>
    <row r="1515" spans="1:10" hidden="1" x14ac:dyDescent="0.25">
      <c r="A1515" t="s">
        <v>1138</v>
      </c>
      <c r="B1515" t="s">
        <v>96</v>
      </c>
      <c r="C1515" s="1">
        <v>45888</v>
      </c>
      <c r="D1515" t="s">
        <v>1139</v>
      </c>
      <c r="E1515" t="s">
        <v>151</v>
      </c>
      <c r="G1515" s="14">
        <v>36212.019999999997</v>
      </c>
      <c r="H1515">
        <v>1310</v>
      </c>
      <c r="I1515">
        <v>27.64</v>
      </c>
      <c r="J1515">
        <v>36212.019999999997</v>
      </c>
    </row>
    <row r="1516" spans="1:10" hidden="1" x14ac:dyDescent="0.25">
      <c r="A1516" t="s">
        <v>1239</v>
      </c>
      <c r="B1516" t="s">
        <v>88</v>
      </c>
      <c r="C1516" s="1">
        <v>45888</v>
      </c>
      <c r="D1516" t="s">
        <v>1240</v>
      </c>
      <c r="E1516" t="s">
        <v>731</v>
      </c>
      <c r="F1516" t="s">
        <v>1111</v>
      </c>
      <c r="G1516" s="14">
        <v>150036.88</v>
      </c>
      <c r="H1516">
        <v>1310</v>
      </c>
      <c r="I1516">
        <v>114.53</v>
      </c>
      <c r="J1516">
        <v>181544.62</v>
      </c>
    </row>
    <row r="1517" spans="1:10" hidden="1" x14ac:dyDescent="0.25">
      <c r="A1517" t="s">
        <v>426</v>
      </c>
      <c r="B1517" t="s">
        <v>88</v>
      </c>
      <c r="C1517" s="1">
        <v>45887</v>
      </c>
      <c r="D1517" t="s">
        <v>1279</v>
      </c>
      <c r="E1517" t="s">
        <v>136</v>
      </c>
      <c r="F1517" t="s">
        <v>621</v>
      </c>
      <c r="G1517" s="14">
        <v>57962.94</v>
      </c>
      <c r="H1517">
        <v>1315</v>
      </c>
      <c r="I1517">
        <v>44.08</v>
      </c>
      <c r="J1517">
        <v>70135.16</v>
      </c>
    </row>
    <row r="1518" spans="1:10" hidden="1" x14ac:dyDescent="0.25">
      <c r="A1518" t="s">
        <v>426</v>
      </c>
      <c r="B1518" t="s">
        <v>88</v>
      </c>
      <c r="C1518" s="1">
        <v>45887</v>
      </c>
      <c r="D1518" t="s">
        <v>1280</v>
      </c>
      <c r="E1518" t="s">
        <v>134</v>
      </c>
      <c r="F1518" t="s">
        <v>6</v>
      </c>
      <c r="G1518" s="14">
        <v>55798.5</v>
      </c>
      <c r="H1518">
        <v>1315</v>
      </c>
      <c r="I1518">
        <v>42.43</v>
      </c>
      <c r="J1518">
        <v>61657.34</v>
      </c>
    </row>
    <row r="1519" spans="1:10" hidden="1" x14ac:dyDescent="0.25">
      <c r="A1519" t="s">
        <v>426</v>
      </c>
      <c r="B1519" t="s">
        <v>88</v>
      </c>
      <c r="C1519" s="1">
        <v>45887</v>
      </c>
      <c r="D1519" t="s">
        <v>1280</v>
      </c>
      <c r="E1519" t="s">
        <v>136</v>
      </c>
      <c r="F1519" t="s">
        <v>6</v>
      </c>
      <c r="G1519" s="14">
        <v>6340153.79</v>
      </c>
      <c r="H1519">
        <v>1315</v>
      </c>
      <c r="I1519">
        <v>4821.41</v>
      </c>
      <c r="J1519">
        <v>7671586.0899999999</v>
      </c>
    </row>
    <row r="1520" spans="1:10" hidden="1" x14ac:dyDescent="0.25">
      <c r="A1520" t="s">
        <v>497</v>
      </c>
      <c r="B1520" t="s">
        <v>88</v>
      </c>
      <c r="C1520" s="1">
        <v>45887</v>
      </c>
      <c r="D1520" t="s">
        <v>1400</v>
      </c>
      <c r="E1520" t="s">
        <v>136</v>
      </c>
      <c r="F1520" t="s">
        <v>621</v>
      </c>
      <c r="G1520" s="14">
        <v>91183.38</v>
      </c>
      <c r="H1520">
        <v>1315</v>
      </c>
      <c r="I1520">
        <v>69.34</v>
      </c>
      <c r="J1520">
        <v>110331.89</v>
      </c>
    </row>
    <row r="1521" spans="1:10" hidden="1" x14ac:dyDescent="0.25">
      <c r="A1521" t="s">
        <v>510</v>
      </c>
      <c r="B1521" t="s">
        <v>96</v>
      </c>
      <c r="C1521" s="1">
        <v>45887</v>
      </c>
      <c r="D1521" t="s">
        <v>1430</v>
      </c>
      <c r="E1521" t="s">
        <v>127</v>
      </c>
      <c r="F1521" t="s">
        <v>115</v>
      </c>
      <c r="G1521" s="14">
        <v>470.05</v>
      </c>
      <c r="H1521">
        <v>1315</v>
      </c>
      <c r="I1521">
        <v>0.36</v>
      </c>
      <c r="J1521">
        <v>470.05</v>
      </c>
    </row>
    <row r="1522" spans="1:10" hidden="1" x14ac:dyDescent="0.25">
      <c r="A1522" t="s">
        <v>112</v>
      </c>
      <c r="B1522" t="s">
        <v>88</v>
      </c>
      <c r="C1522" s="1">
        <v>45885</v>
      </c>
      <c r="D1522" t="s">
        <v>961</v>
      </c>
      <c r="E1522" t="s">
        <v>114</v>
      </c>
      <c r="F1522" t="s">
        <v>117</v>
      </c>
      <c r="G1522" s="14">
        <v>693.33</v>
      </c>
      <c r="H1522">
        <v>1310</v>
      </c>
      <c r="I1522">
        <v>0.53</v>
      </c>
      <c r="J1522">
        <v>838.93</v>
      </c>
    </row>
    <row r="1523" spans="1:10" hidden="1" x14ac:dyDescent="0.25">
      <c r="A1523" t="s">
        <v>125</v>
      </c>
      <c r="B1523" t="s">
        <v>88</v>
      </c>
      <c r="C1523" s="1">
        <v>45885</v>
      </c>
      <c r="D1523" t="s">
        <v>967</v>
      </c>
      <c r="E1523" t="s">
        <v>114</v>
      </c>
      <c r="F1523" t="s">
        <v>117</v>
      </c>
      <c r="G1523" s="14">
        <v>9598.44</v>
      </c>
      <c r="H1523">
        <v>1310</v>
      </c>
      <c r="I1523">
        <v>7.33</v>
      </c>
      <c r="J1523">
        <v>11614.11</v>
      </c>
    </row>
    <row r="1524" spans="1:10" hidden="1" x14ac:dyDescent="0.25">
      <c r="A1524" t="s">
        <v>125</v>
      </c>
      <c r="B1524" t="s">
        <v>88</v>
      </c>
      <c r="C1524" s="1">
        <v>45885</v>
      </c>
      <c r="D1524" t="s">
        <v>967</v>
      </c>
      <c r="E1524" t="s">
        <v>127</v>
      </c>
      <c r="F1524" t="s">
        <v>117</v>
      </c>
      <c r="G1524" s="14">
        <v>959.85</v>
      </c>
      <c r="H1524">
        <v>1310</v>
      </c>
      <c r="I1524">
        <v>0.73</v>
      </c>
      <c r="J1524">
        <v>959.85</v>
      </c>
    </row>
    <row r="1525" spans="1:10" hidden="1" x14ac:dyDescent="0.25">
      <c r="A1525" t="s">
        <v>353</v>
      </c>
      <c r="B1525" t="s">
        <v>88</v>
      </c>
      <c r="C1525" s="1">
        <v>45885</v>
      </c>
      <c r="D1525" t="s">
        <v>1179</v>
      </c>
      <c r="E1525" t="s">
        <v>114</v>
      </c>
      <c r="F1525" t="s">
        <v>117</v>
      </c>
      <c r="G1525" s="14">
        <v>693.33</v>
      </c>
      <c r="H1525">
        <v>1310</v>
      </c>
      <c r="I1525">
        <v>0.53</v>
      </c>
      <c r="J1525">
        <v>838.93</v>
      </c>
    </row>
    <row r="1526" spans="1:10" hidden="1" x14ac:dyDescent="0.25">
      <c r="A1526" t="s">
        <v>935</v>
      </c>
      <c r="B1526" t="s">
        <v>88</v>
      </c>
      <c r="C1526" s="1">
        <v>45884</v>
      </c>
      <c r="D1526" t="s">
        <v>937</v>
      </c>
      <c r="E1526" t="s">
        <v>136</v>
      </c>
      <c r="F1526" t="s">
        <v>7</v>
      </c>
      <c r="G1526" s="14">
        <v>2545660</v>
      </c>
      <c r="H1526">
        <v>1310</v>
      </c>
      <c r="I1526">
        <v>1943.25</v>
      </c>
      <c r="J1526">
        <v>3080248.6</v>
      </c>
    </row>
    <row r="1527" spans="1:10" hidden="1" x14ac:dyDescent="0.25">
      <c r="A1527" t="s">
        <v>123</v>
      </c>
      <c r="B1527" t="s">
        <v>88</v>
      </c>
      <c r="C1527" s="1">
        <v>45884</v>
      </c>
      <c r="D1527" t="s">
        <v>963</v>
      </c>
      <c r="E1527" t="s">
        <v>114</v>
      </c>
      <c r="F1527" t="s">
        <v>117</v>
      </c>
      <c r="G1527" s="14">
        <v>5046.46</v>
      </c>
      <c r="H1527">
        <v>1310</v>
      </c>
      <c r="I1527">
        <v>3.85</v>
      </c>
      <c r="J1527">
        <v>6106.22</v>
      </c>
    </row>
    <row r="1528" spans="1:10" hidden="1" x14ac:dyDescent="0.25">
      <c r="A1528" t="s">
        <v>132</v>
      </c>
      <c r="B1528" t="s">
        <v>88</v>
      </c>
      <c r="C1528" s="1">
        <v>45884</v>
      </c>
      <c r="D1528" t="s">
        <v>982</v>
      </c>
      <c r="E1528" t="s">
        <v>136</v>
      </c>
      <c r="F1528" t="s">
        <v>135</v>
      </c>
      <c r="G1528" s="14">
        <v>4409.09</v>
      </c>
      <c r="H1528">
        <v>1310</v>
      </c>
      <c r="I1528">
        <v>3.37</v>
      </c>
      <c r="J1528">
        <v>5335</v>
      </c>
    </row>
    <row r="1529" spans="1:10" hidden="1" x14ac:dyDescent="0.25">
      <c r="A1529" t="s">
        <v>497</v>
      </c>
      <c r="B1529" t="s">
        <v>88</v>
      </c>
      <c r="C1529" s="1">
        <v>45884</v>
      </c>
      <c r="D1529" t="s">
        <v>1399</v>
      </c>
      <c r="E1529" t="s">
        <v>136</v>
      </c>
      <c r="F1529" t="s">
        <v>22</v>
      </c>
      <c r="G1529" s="14">
        <v>62370</v>
      </c>
      <c r="H1529">
        <v>1310</v>
      </c>
      <c r="I1529">
        <v>47.61</v>
      </c>
      <c r="J1529">
        <v>75467.7</v>
      </c>
    </row>
    <row r="1530" spans="1:10" hidden="1" x14ac:dyDescent="0.25">
      <c r="A1530" t="s">
        <v>246</v>
      </c>
      <c r="B1530" t="s">
        <v>88</v>
      </c>
      <c r="C1530" s="1">
        <v>45883</v>
      </c>
      <c r="D1530" t="s">
        <v>1078</v>
      </c>
      <c r="E1530" t="s">
        <v>114</v>
      </c>
      <c r="F1530" t="s">
        <v>117</v>
      </c>
      <c r="G1530" s="14">
        <v>32239.52</v>
      </c>
      <c r="H1530">
        <v>1310</v>
      </c>
      <c r="I1530">
        <v>24.61</v>
      </c>
      <c r="J1530">
        <v>39009.82</v>
      </c>
    </row>
    <row r="1531" spans="1:10" hidden="1" x14ac:dyDescent="0.25">
      <c r="A1531" t="s">
        <v>504</v>
      </c>
      <c r="B1531" t="s">
        <v>88</v>
      </c>
      <c r="C1531" s="1">
        <v>45883</v>
      </c>
      <c r="D1531" t="s">
        <v>1425</v>
      </c>
      <c r="E1531" t="s">
        <v>506</v>
      </c>
      <c r="F1531" t="s">
        <v>109</v>
      </c>
      <c r="G1531" s="14">
        <v>301606</v>
      </c>
      <c r="H1531">
        <v>1310</v>
      </c>
      <c r="I1531">
        <v>230.23</v>
      </c>
      <c r="J1531">
        <v>383039.62</v>
      </c>
    </row>
    <row r="1532" spans="1:10" hidden="1" x14ac:dyDescent="0.25">
      <c r="A1532" t="s">
        <v>504</v>
      </c>
      <c r="B1532" t="s">
        <v>88</v>
      </c>
      <c r="C1532" s="1">
        <v>45883</v>
      </c>
      <c r="D1532" t="s">
        <v>1425</v>
      </c>
      <c r="E1532" t="s">
        <v>507</v>
      </c>
      <c r="F1532" t="s">
        <v>109</v>
      </c>
      <c r="G1532" s="14">
        <v>15873.83</v>
      </c>
      <c r="H1532">
        <v>1310</v>
      </c>
      <c r="I1532">
        <v>12.12</v>
      </c>
      <c r="J1532">
        <v>15873.83</v>
      </c>
    </row>
    <row r="1533" spans="1:10" hidden="1" x14ac:dyDescent="0.25">
      <c r="A1533" t="s">
        <v>132</v>
      </c>
      <c r="B1533" t="s">
        <v>88</v>
      </c>
      <c r="C1533" s="1">
        <v>45882</v>
      </c>
      <c r="D1533" t="s">
        <v>980</v>
      </c>
      <c r="E1533" t="s">
        <v>136</v>
      </c>
      <c r="F1533" t="s">
        <v>976</v>
      </c>
      <c r="G1533" s="14">
        <v>4672.9799999999996</v>
      </c>
      <c r="H1533">
        <v>1325</v>
      </c>
      <c r="I1533">
        <v>3.53</v>
      </c>
      <c r="J1533">
        <v>5654.31</v>
      </c>
    </row>
    <row r="1534" spans="1:10" hidden="1" x14ac:dyDescent="0.25">
      <c r="A1534" t="s">
        <v>343</v>
      </c>
      <c r="B1534" t="s">
        <v>88</v>
      </c>
      <c r="C1534" s="1">
        <v>45881</v>
      </c>
      <c r="D1534" t="s">
        <v>1165</v>
      </c>
      <c r="E1534" t="s">
        <v>136</v>
      </c>
      <c r="F1534" t="s">
        <v>135</v>
      </c>
      <c r="G1534" s="14">
        <v>34920.5</v>
      </c>
      <c r="H1534">
        <v>1330</v>
      </c>
      <c r="I1534">
        <v>26.26</v>
      </c>
      <c r="J1534">
        <v>42253.81</v>
      </c>
    </row>
    <row r="1535" spans="1:10" hidden="1" x14ac:dyDescent="0.25">
      <c r="A1535" t="s">
        <v>400</v>
      </c>
      <c r="B1535" t="s">
        <v>88</v>
      </c>
      <c r="C1535" s="1">
        <v>45881</v>
      </c>
      <c r="D1535" t="s">
        <v>1220</v>
      </c>
      <c r="E1535" t="s">
        <v>184</v>
      </c>
      <c r="F1535" t="s">
        <v>22</v>
      </c>
      <c r="G1535" s="14">
        <v>9889.01</v>
      </c>
      <c r="H1535">
        <v>1330</v>
      </c>
      <c r="I1535">
        <v>7.44</v>
      </c>
      <c r="J1535">
        <v>11965.7</v>
      </c>
    </row>
    <row r="1536" spans="1:10" hidden="1" x14ac:dyDescent="0.25">
      <c r="A1536" t="s">
        <v>400</v>
      </c>
      <c r="B1536" t="s">
        <v>88</v>
      </c>
      <c r="C1536" s="1">
        <v>45881</v>
      </c>
      <c r="D1536" t="s">
        <v>1220</v>
      </c>
      <c r="E1536" t="s">
        <v>184</v>
      </c>
      <c r="F1536" t="s">
        <v>135</v>
      </c>
      <c r="G1536" s="14">
        <v>14833.51</v>
      </c>
      <c r="H1536">
        <v>1330</v>
      </c>
      <c r="I1536">
        <v>11.15</v>
      </c>
      <c r="J1536">
        <v>17948.55</v>
      </c>
    </row>
    <row r="1537" spans="1:10" hidden="1" x14ac:dyDescent="0.25">
      <c r="A1537" t="s">
        <v>400</v>
      </c>
      <c r="B1537" t="s">
        <v>88</v>
      </c>
      <c r="C1537" s="1">
        <v>45881</v>
      </c>
      <c r="D1537" t="s">
        <v>1221</v>
      </c>
      <c r="E1537" t="s">
        <v>184</v>
      </c>
      <c r="F1537" t="s">
        <v>21</v>
      </c>
      <c r="G1537" s="14">
        <v>212971</v>
      </c>
      <c r="H1537">
        <v>1330</v>
      </c>
      <c r="I1537">
        <v>160.13</v>
      </c>
      <c r="J1537">
        <v>257694.91</v>
      </c>
    </row>
    <row r="1538" spans="1:10" hidden="1" x14ac:dyDescent="0.25">
      <c r="A1538" t="s">
        <v>473</v>
      </c>
      <c r="B1538" t="s">
        <v>88</v>
      </c>
      <c r="C1538" s="1">
        <v>45881</v>
      </c>
      <c r="D1538" t="s">
        <v>1349</v>
      </c>
      <c r="E1538" t="s">
        <v>152</v>
      </c>
      <c r="F1538" t="s">
        <v>475</v>
      </c>
      <c r="G1538" s="14">
        <v>372926.21</v>
      </c>
      <c r="H1538">
        <v>1330</v>
      </c>
      <c r="I1538">
        <v>280.39999999999998</v>
      </c>
      <c r="J1538">
        <v>451240.72</v>
      </c>
    </row>
    <row r="1539" spans="1:10" hidden="1" x14ac:dyDescent="0.25">
      <c r="A1539" t="s">
        <v>473</v>
      </c>
      <c r="B1539" t="s">
        <v>88</v>
      </c>
      <c r="C1539" s="1">
        <v>45881</v>
      </c>
      <c r="D1539" t="s">
        <v>1349</v>
      </c>
      <c r="E1539" t="s">
        <v>153</v>
      </c>
      <c r="F1539" t="s">
        <v>475</v>
      </c>
      <c r="G1539" s="14">
        <v>9906.41</v>
      </c>
      <c r="H1539">
        <v>1330</v>
      </c>
      <c r="I1539">
        <v>7.45</v>
      </c>
      <c r="J1539">
        <v>9906.41</v>
      </c>
    </row>
    <row r="1540" spans="1:10" hidden="1" x14ac:dyDescent="0.25">
      <c r="A1540" t="s">
        <v>161</v>
      </c>
      <c r="B1540" t="s">
        <v>88</v>
      </c>
      <c r="C1540" s="1">
        <v>45877</v>
      </c>
      <c r="D1540" t="s">
        <v>1006</v>
      </c>
      <c r="E1540" t="s">
        <v>136</v>
      </c>
      <c r="F1540" t="s">
        <v>6</v>
      </c>
      <c r="G1540" s="14">
        <v>426776.6</v>
      </c>
      <c r="H1540">
        <v>1335</v>
      </c>
      <c r="I1540">
        <v>319.68</v>
      </c>
      <c r="J1540">
        <v>516399.69</v>
      </c>
    </row>
    <row r="1541" spans="1:10" hidden="1" x14ac:dyDescent="0.25">
      <c r="A1541" t="s">
        <v>289</v>
      </c>
      <c r="B1541" t="s">
        <v>88</v>
      </c>
      <c r="C1541" s="1">
        <v>45877</v>
      </c>
      <c r="D1541" t="s">
        <v>1123</v>
      </c>
      <c r="E1541" t="s">
        <v>138</v>
      </c>
      <c r="F1541" t="s">
        <v>139</v>
      </c>
      <c r="G1541" s="14">
        <v>875826</v>
      </c>
      <c r="H1541">
        <v>1335</v>
      </c>
      <c r="I1541">
        <v>656.05</v>
      </c>
      <c r="J1541">
        <v>1059749.46</v>
      </c>
    </row>
    <row r="1542" spans="1:10" hidden="1" x14ac:dyDescent="0.25">
      <c r="A1542" t="s">
        <v>319</v>
      </c>
      <c r="B1542" t="s">
        <v>88</v>
      </c>
      <c r="C1542" s="1">
        <v>45877</v>
      </c>
      <c r="D1542" t="s">
        <v>1149</v>
      </c>
      <c r="E1542" t="s">
        <v>136</v>
      </c>
      <c r="F1542" t="s">
        <v>135</v>
      </c>
      <c r="G1542" s="14">
        <v>18636.37</v>
      </c>
      <c r="H1542">
        <v>1335</v>
      </c>
      <c r="I1542">
        <v>13.96</v>
      </c>
      <c r="J1542">
        <v>22550.01</v>
      </c>
    </row>
    <row r="1543" spans="1:10" hidden="1" x14ac:dyDescent="0.25">
      <c r="A1543" t="s">
        <v>416</v>
      </c>
      <c r="B1543" t="s">
        <v>88</v>
      </c>
      <c r="C1543" s="1">
        <v>45877</v>
      </c>
      <c r="D1543" t="s">
        <v>1244</v>
      </c>
      <c r="E1543" t="s">
        <v>205</v>
      </c>
      <c r="F1543" t="s">
        <v>109</v>
      </c>
      <c r="G1543" s="14">
        <v>59785.120000000003</v>
      </c>
      <c r="H1543">
        <v>1335</v>
      </c>
      <c r="I1543">
        <v>44.78</v>
      </c>
      <c r="J1543">
        <v>72340</v>
      </c>
    </row>
    <row r="1544" spans="1:10" hidden="1" x14ac:dyDescent="0.25">
      <c r="A1544" t="s">
        <v>501</v>
      </c>
      <c r="B1544" t="s">
        <v>88</v>
      </c>
      <c r="C1544" s="1">
        <v>45877</v>
      </c>
      <c r="D1544" t="s">
        <v>1409</v>
      </c>
      <c r="E1544" t="s">
        <v>205</v>
      </c>
      <c r="F1544" t="s">
        <v>109</v>
      </c>
      <c r="G1544" s="14">
        <v>218287.2</v>
      </c>
      <c r="H1544">
        <v>1335</v>
      </c>
      <c r="I1544">
        <v>163.51</v>
      </c>
      <c r="J1544">
        <v>264127.51</v>
      </c>
    </row>
    <row r="1545" spans="1:10" hidden="1" x14ac:dyDescent="0.25">
      <c r="A1545" t="s">
        <v>533</v>
      </c>
      <c r="B1545" t="s">
        <v>88</v>
      </c>
      <c r="C1545" s="1">
        <v>45877</v>
      </c>
      <c r="D1545" t="s">
        <v>1477</v>
      </c>
      <c r="E1545" t="s">
        <v>90</v>
      </c>
      <c r="F1545" t="s">
        <v>91</v>
      </c>
      <c r="G1545" s="14">
        <v>14484.39</v>
      </c>
      <c r="H1545">
        <v>1335</v>
      </c>
      <c r="I1545">
        <v>10.85</v>
      </c>
      <c r="J1545">
        <v>17526.12</v>
      </c>
    </row>
    <row r="1546" spans="1:10" hidden="1" x14ac:dyDescent="0.25">
      <c r="A1546" t="s">
        <v>533</v>
      </c>
      <c r="B1546" t="s">
        <v>88</v>
      </c>
      <c r="C1546" s="1">
        <v>45877</v>
      </c>
      <c r="D1546" t="s">
        <v>1477</v>
      </c>
      <c r="E1546" t="s">
        <v>92</v>
      </c>
      <c r="F1546" t="s">
        <v>91</v>
      </c>
      <c r="G1546" s="14">
        <v>73.83</v>
      </c>
      <c r="H1546">
        <v>1335</v>
      </c>
      <c r="I1546">
        <v>0.06</v>
      </c>
      <c r="J1546">
        <v>73.83</v>
      </c>
    </row>
    <row r="1547" spans="1:10" hidden="1" x14ac:dyDescent="0.25">
      <c r="A1547" t="s">
        <v>533</v>
      </c>
      <c r="B1547" t="s">
        <v>88</v>
      </c>
      <c r="C1547" s="1">
        <v>45877</v>
      </c>
      <c r="D1547" t="s">
        <v>1478</v>
      </c>
      <c r="E1547" t="s">
        <v>90</v>
      </c>
      <c r="F1547" t="s">
        <v>91</v>
      </c>
      <c r="G1547" s="14">
        <v>72949.399999999994</v>
      </c>
      <c r="H1547">
        <v>1335</v>
      </c>
      <c r="I1547">
        <v>54.64</v>
      </c>
      <c r="J1547">
        <v>88268.78</v>
      </c>
    </row>
    <row r="1548" spans="1:10" hidden="1" x14ac:dyDescent="0.25">
      <c r="A1548" t="s">
        <v>533</v>
      </c>
      <c r="B1548" t="s">
        <v>88</v>
      </c>
      <c r="C1548" s="1">
        <v>45877</v>
      </c>
      <c r="D1548" t="s">
        <v>1478</v>
      </c>
      <c r="E1548" t="s">
        <v>92</v>
      </c>
      <c r="F1548" t="s">
        <v>91</v>
      </c>
      <c r="G1548" s="14">
        <v>11732.25</v>
      </c>
      <c r="H1548">
        <v>1335</v>
      </c>
      <c r="I1548">
        <v>8.7899999999999991</v>
      </c>
      <c r="J1548">
        <v>11732.25</v>
      </c>
    </row>
    <row r="1549" spans="1:10" hidden="1" x14ac:dyDescent="0.25">
      <c r="A1549" t="s">
        <v>216</v>
      </c>
      <c r="B1549" t="s">
        <v>88</v>
      </c>
      <c r="C1549" s="1">
        <v>45876</v>
      </c>
      <c r="D1549" t="s">
        <v>1052</v>
      </c>
      <c r="E1549" t="s">
        <v>218</v>
      </c>
      <c r="F1549" t="s">
        <v>117</v>
      </c>
      <c r="G1549" s="14">
        <v>45123.97</v>
      </c>
      <c r="H1549">
        <v>1340</v>
      </c>
      <c r="I1549">
        <v>33.67</v>
      </c>
      <c r="J1549">
        <v>54600</v>
      </c>
    </row>
    <row r="1550" spans="1:10" hidden="1" x14ac:dyDescent="0.25">
      <c r="A1550" t="s">
        <v>1213</v>
      </c>
      <c r="B1550" t="s">
        <v>88</v>
      </c>
      <c r="C1550" s="1">
        <v>45876</v>
      </c>
      <c r="D1550" t="s">
        <v>1214</v>
      </c>
      <c r="E1550" t="s">
        <v>786</v>
      </c>
      <c r="F1550" t="s">
        <v>188</v>
      </c>
      <c r="G1550" s="14">
        <v>270000</v>
      </c>
      <c r="H1550">
        <v>1340</v>
      </c>
      <c r="I1550">
        <v>201.49</v>
      </c>
      <c r="J1550">
        <v>270000</v>
      </c>
    </row>
    <row r="1551" spans="1:10" hidden="1" x14ac:dyDescent="0.25">
      <c r="A1551" t="s">
        <v>1362</v>
      </c>
      <c r="B1551" t="s">
        <v>88</v>
      </c>
      <c r="C1551" s="1">
        <v>45876</v>
      </c>
      <c r="D1551" t="s">
        <v>1366</v>
      </c>
      <c r="E1551" t="s">
        <v>134</v>
      </c>
      <c r="F1551" t="s">
        <v>6</v>
      </c>
      <c r="G1551" s="14">
        <v>3829753</v>
      </c>
      <c r="H1551">
        <v>1340</v>
      </c>
      <c r="I1551">
        <v>2858.02</v>
      </c>
      <c r="J1551">
        <v>4231877.07</v>
      </c>
    </row>
    <row r="1552" spans="1:10" hidden="1" x14ac:dyDescent="0.25">
      <c r="A1552" t="s">
        <v>1362</v>
      </c>
      <c r="B1552" t="s">
        <v>88</v>
      </c>
      <c r="C1552" s="1">
        <v>45876</v>
      </c>
      <c r="D1552" t="s">
        <v>1366</v>
      </c>
      <c r="E1552" t="s">
        <v>136</v>
      </c>
      <c r="F1552" t="s">
        <v>6</v>
      </c>
      <c r="G1552" s="14">
        <v>1612924</v>
      </c>
      <c r="H1552">
        <v>1340</v>
      </c>
      <c r="I1552">
        <v>1203.67</v>
      </c>
      <c r="J1552">
        <v>1951638.04</v>
      </c>
    </row>
    <row r="1553" spans="1:10" hidden="1" x14ac:dyDescent="0.25">
      <c r="A1553" t="s">
        <v>515</v>
      </c>
      <c r="B1553" t="s">
        <v>88</v>
      </c>
      <c r="C1553" s="1">
        <v>45876</v>
      </c>
      <c r="D1553" t="s">
        <v>1450</v>
      </c>
      <c r="E1553" t="s">
        <v>184</v>
      </c>
      <c r="F1553" t="s">
        <v>135</v>
      </c>
      <c r="G1553" s="14">
        <v>13156</v>
      </c>
      <c r="H1553">
        <v>1340</v>
      </c>
      <c r="I1553">
        <v>9.82</v>
      </c>
      <c r="J1553">
        <v>15918.76</v>
      </c>
    </row>
    <row r="1554" spans="1:10" hidden="1" x14ac:dyDescent="0.25">
      <c r="A1554" t="s">
        <v>533</v>
      </c>
      <c r="B1554" t="s">
        <v>88</v>
      </c>
      <c r="C1554" s="1">
        <v>45876</v>
      </c>
      <c r="D1554" t="s">
        <v>1476</v>
      </c>
      <c r="E1554" t="s">
        <v>90</v>
      </c>
      <c r="F1554" t="s">
        <v>117</v>
      </c>
      <c r="G1554" s="14">
        <v>10979.54</v>
      </c>
      <c r="H1554">
        <v>1340</v>
      </c>
      <c r="I1554">
        <v>8.19</v>
      </c>
      <c r="J1554">
        <v>13285.25</v>
      </c>
    </row>
    <row r="1555" spans="1:10" hidden="1" x14ac:dyDescent="0.25">
      <c r="A1555" t="s">
        <v>533</v>
      </c>
      <c r="B1555" t="s">
        <v>88</v>
      </c>
      <c r="C1555" s="1">
        <v>45876</v>
      </c>
      <c r="D1555" t="s">
        <v>1476</v>
      </c>
      <c r="E1555" t="s">
        <v>92</v>
      </c>
      <c r="F1555" t="s">
        <v>117</v>
      </c>
      <c r="G1555" s="14">
        <v>14.75</v>
      </c>
      <c r="H1555">
        <v>1340</v>
      </c>
      <c r="I1555">
        <v>0.01</v>
      </c>
      <c r="J1555">
        <v>14.75</v>
      </c>
    </row>
    <row r="1556" spans="1:10" hidden="1" x14ac:dyDescent="0.25">
      <c r="A1556" t="s">
        <v>552</v>
      </c>
      <c r="B1556" t="s">
        <v>88</v>
      </c>
      <c r="C1556" s="1">
        <v>45876</v>
      </c>
      <c r="D1556" t="s">
        <v>1496</v>
      </c>
      <c r="E1556" t="s">
        <v>136</v>
      </c>
      <c r="F1556" t="s">
        <v>6</v>
      </c>
      <c r="G1556" s="14">
        <v>1737680</v>
      </c>
      <c r="H1556">
        <v>1340</v>
      </c>
      <c r="I1556">
        <v>1296.78</v>
      </c>
      <c r="J1556">
        <v>2102592.7999999998</v>
      </c>
    </row>
    <row r="1557" spans="1:10" hidden="1" x14ac:dyDescent="0.25">
      <c r="A1557" t="s">
        <v>552</v>
      </c>
      <c r="B1557" t="s">
        <v>88</v>
      </c>
      <c r="C1557" s="1">
        <v>45876</v>
      </c>
      <c r="D1557" t="s">
        <v>1496</v>
      </c>
      <c r="E1557" t="s">
        <v>136</v>
      </c>
      <c r="F1557" t="s">
        <v>1497</v>
      </c>
      <c r="G1557" s="14">
        <v>898580</v>
      </c>
      <c r="H1557">
        <v>1340</v>
      </c>
      <c r="I1557">
        <v>670.58</v>
      </c>
      <c r="J1557">
        <v>1087281.8</v>
      </c>
    </row>
    <row r="1558" spans="1:10" hidden="1" x14ac:dyDescent="0.25">
      <c r="A1558" t="s">
        <v>106</v>
      </c>
      <c r="B1558" t="s">
        <v>88</v>
      </c>
      <c r="C1558" s="1">
        <v>45875</v>
      </c>
      <c r="D1558" t="s">
        <v>954</v>
      </c>
      <c r="E1558" t="s">
        <v>108</v>
      </c>
      <c r="F1558" t="s">
        <v>109</v>
      </c>
      <c r="G1558" s="14">
        <v>51467</v>
      </c>
      <c r="H1558">
        <v>1345</v>
      </c>
      <c r="I1558">
        <v>38.270000000000003</v>
      </c>
      <c r="J1558">
        <v>51467</v>
      </c>
    </row>
    <row r="1559" spans="1:10" hidden="1" x14ac:dyDescent="0.25">
      <c r="A1559" t="s">
        <v>175</v>
      </c>
      <c r="B1559" t="s">
        <v>88</v>
      </c>
      <c r="C1559" s="1">
        <v>45875</v>
      </c>
      <c r="D1559" t="s">
        <v>1025</v>
      </c>
      <c r="E1559" t="s">
        <v>177</v>
      </c>
      <c r="F1559" t="s">
        <v>109</v>
      </c>
      <c r="G1559" s="14">
        <v>59586.37</v>
      </c>
      <c r="H1559">
        <v>1345</v>
      </c>
      <c r="I1559">
        <v>44.3</v>
      </c>
      <c r="J1559">
        <v>75674.69</v>
      </c>
    </row>
    <row r="1560" spans="1:10" hidden="1" x14ac:dyDescent="0.25">
      <c r="A1560" t="s">
        <v>175</v>
      </c>
      <c r="B1560" t="s">
        <v>88</v>
      </c>
      <c r="C1560" s="1">
        <v>45875</v>
      </c>
      <c r="D1560" t="s">
        <v>1025</v>
      </c>
      <c r="E1560" t="s">
        <v>180</v>
      </c>
      <c r="F1560" t="s">
        <v>109</v>
      </c>
      <c r="G1560" s="14">
        <v>1905.15</v>
      </c>
      <c r="H1560">
        <v>1345</v>
      </c>
      <c r="I1560">
        <v>1.42</v>
      </c>
      <c r="J1560">
        <v>1905.15</v>
      </c>
    </row>
    <row r="1561" spans="1:10" hidden="1" x14ac:dyDescent="0.25">
      <c r="A1561" t="s">
        <v>473</v>
      </c>
      <c r="B1561" t="s">
        <v>88</v>
      </c>
      <c r="C1561" s="1">
        <v>45875</v>
      </c>
      <c r="D1561" t="s">
        <v>1348</v>
      </c>
      <c r="E1561" t="s">
        <v>152</v>
      </c>
      <c r="F1561" t="s">
        <v>475</v>
      </c>
      <c r="G1561" s="14">
        <v>2097217.8199999998</v>
      </c>
      <c r="H1561">
        <v>1345</v>
      </c>
      <c r="I1561">
        <v>1559.27</v>
      </c>
      <c r="J1561">
        <v>2537633.56</v>
      </c>
    </row>
    <row r="1562" spans="1:10" hidden="1" x14ac:dyDescent="0.25">
      <c r="A1562" t="s">
        <v>473</v>
      </c>
      <c r="B1562" t="s">
        <v>88</v>
      </c>
      <c r="C1562" s="1">
        <v>45875</v>
      </c>
      <c r="D1562" t="s">
        <v>1348</v>
      </c>
      <c r="E1562" t="s">
        <v>153</v>
      </c>
      <c r="F1562" t="s">
        <v>475</v>
      </c>
      <c r="G1562" s="14">
        <v>77899.05</v>
      </c>
      <c r="H1562">
        <v>1345</v>
      </c>
      <c r="I1562">
        <v>57.92</v>
      </c>
      <c r="J1562">
        <v>77899.05</v>
      </c>
    </row>
    <row r="1563" spans="1:10" hidden="1" x14ac:dyDescent="0.25">
      <c r="A1563" t="s">
        <v>466</v>
      </c>
      <c r="B1563" t="s">
        <v>88</v>
      </c>
      <c r="C1563" s="1">
        <v>45874</v>
      </c>
      <c r="D1563" t="s">
        <v>1337</v>
      </c>
      <c r="E1563" t="s">
        <v>136</v>
      </c>
      <c r="F1563" t="s">
        <v>6</v>
      </c>
      <c r="G1563" s="14">
        <v>34680</v>
      </c>
      <c r="H1563">
        <v>1350</v>
      </c>
      <c r="I1563">
        <v>25.69</v>
      </c>
      <c r="J1563">
        <v>41962.8</v>
      </c>
    </row>
    <row r="1564" spans="1:10" hidden="1" x14ac:dyDescent="0.25">
      <c r="A1564" t="s">
        <v>884</v>
      </c>
      <c r="B1564" t="s">
        <v>88</v>
      </c>
      <c r="C1564" s="1">
        <v>45874</v>
      </c>
      <c r="D1564" t="s">
        <v>1440</v>
      </c>
      <c r="E1564" t="s">
        <v>136</v>
      </c>
      <c r="F1564" t="s">
        <v>22</v>
      </c>
      <c r="G1564" s="14">
        <v>221076</v>
      </c>
      <c r="H1564">
        <v>1350</v>
      </c>
      <c r="I1564">
        <v>163.76</v>
      </c>
      <c r="J1564">
        <v>267501.96000000002</v>
      </c>
    </row>
    <row r="1565" spans="1:10" hidden="1" x14ac:dyDescent="0.25">
      <c r="A1565" t="s">
        <v>884</v>
      </c>
      <c r="B1565" t="s">
        <v>88</v>
      </c>
      <c r="C1565" s="1">
        <v>45874</v>
      </c>
      <c r="D1565" t="s">
        <v>1440</v>
      </c>
      <c r="E1565" t="s">
        <v>136</v>
      </c>
      <c r="F1565" t="s">
        <v>135</v>
      </c>
      <c r="G1565" s="14">
        <v>331614</v>
      </c>
      <c r="H1565">
        <v>1350</v>
      </c>
      <c r="I1565">
        <v>245.64</v>
      </c>
      <c r="J1565">
        <v>401252.94</v>
      </c>
    </row>
    <row r="1566" spans="1:10" hidden="1" x14ac:dyDescent="0.25">
      <c r="A1566" t="s">
        <v>515</v>
      </c>
      <c r="B1566" t="s">
        <v>88</v>
      </c>
      <c r="C1566" s="1">
        <v>45874</v>
      </c>
      <c r="D1566" t="s">
        <v>1449</v>
      </c>
      <c r="E1566" t="s">
        <v>136</v>
      </c>
      <c r="F1566" t="s">
        <v>15</v>
      </c>
      <c r="G1566" s="14">
        <v>11181.85</v>
      </c>
      <c r="H1566">
        <v>1350</v>
      </c>
      <c r="I1566">
        <v>8.2799999999999994</v>
      </c>
      <c r="J1566">
        <v>13530.04</v>
      </c>
    </row>
    <row r="1567" spans="1:10" hidden="1" x14ac:dyDescent="0.25">
      <c r="A1567" t="s">
        <v>132</v>
      </c>
      <c r="B1567" t="s">
        <v>88</v>
      </c>
      <c r="C1567" s="1">
        <v>45873</v>
      </c>
      <c r="D1567" t="s">
        <v>975</v>
      </c>
      <c r="E1567" t="s">
        <v>136</v>
      </c>
      <c r="F1567" t="s">
        <v>976</v>
      </c>
      <c r="G1567" s="14">
        <v>16500.88</v>
      </c>
      <c r="H1567">
        <v>1370</v>
      </c>
      <c r="I1567">
        <v>12.04</v>
      </c>
      <c r="J1567">
        <v>19966.060000000001</v>
      </c>
    </row>
    <row r="1568" spans="1:10" hidden="1" x14ac:dyDescent="0.25">
      <c r="A1568" t="s">
        <v>367</v>
      </c>
      <c r="B1568" t="s">
        <v>88</v>
      </c>
      <c r="C1568" s="1">
        <v>45873</v>
      </c>
      <c r="D1568" t="s">
        <v>1186</v>
      </c>
      <c r="E1568" t="s">
        <v>215</v>
      </c>
      <c r="F1568" t="s">
        <v>109</v>
      </c>
      <c r="G1568" s="14">
        <v>39020.559999999998</v>
      </c>
      <c r="H1568">
        <v>1370</v>
      </c>
      <c r="I1568">
        <v>28.48</v>
      </c>
      <c r="J1568">
        <v>47214.879999999997</v>
      </c>
    </row>
    <row r="1569" spans="1:10" hidden="1" x14ac:dyDescent="0.25">
      <c r="A1569" t="s">
        <v>426</v>
      </c>
      <c r="B1569" t="s">
        <v>88</v>
      </c>
      <c r="C1569" s="1">
        <v>45873</v>
      </c>
      <c r="D1569" t="s">
        <v>1268</v>
      </c>
      <c r="E1569" t="s">
        <v>136</v>
      </c>
      <c r="F1569" t="s">
        <v>135</v>
      </c>
      <c r="G1569" s="14">
        <v>440422.53</v>
      </c>
      <c r="H1569">
        <v>1370</v>
      </c>
      <c r="I1569">
        <v>321.48</v>
      </c>
      <c r="J1569">
        <v>532911.26</v>
      </c>
    </row>
    <row r="1570" spans="1:10" hidden="1" x14ac:dyDescent="0.25">
      <c r="A1570" t="s">
        <v>443</v>
      </c>
      <c r="B1570" t="s">
        <v>88</v>
      </c>
      <c r="C1570" s="1">
        <v>45873</v>
      </c>
      <c r="D1570" t="s">
        <v>1308</v>
      </c>
      <c r="E1570" t="s">
        <v>90</v>
      </c>
      <c r="F1570" t="s">
        <v>91</v>
      </c>
      <c r="G1570" s="14">
        <v>42090.86</v>
      </c>
      <c r="H1570">
        <v>1370</v>
      </c>
      <c r="I1570">
        <v>30.72</v>
      </c>
      <c r="J1570">
        <v>50929.95</v>
      </c>
    </row>
    <row r="1571" spans="1:10" hidden="1" x14ac:dyDescent="0.25">
      <c r="A1571" t="s">
        <v>443</v>
      </c>
      <c r="B1571" t="s">
        <v>88</v>
      </c>
      <c r="C1571" s="1">
        <v>45873</v>
      </c>
      <c r="D1571" t="s">
        <v>1308</v>
      </c>
      <c r="E1571" t="s">
        <v>92</v>
      </c>
      <c r="F1571" t="s">
        <v>91</v>
      </c>
      <c r="G1571" s="14">
        <v>9075.07</v>
      </c>
      <c r="H1571">
        <v>1370</v>
      </c>
      <c r="I1571">
        <v>6.62</v>
      </c>
      <c r="J1571">
        <v>9075.07</v>
      </c>
    </row>
    <row r="1572" spans="1:10" hidden="1" x14ac:dyDescent="0.25">
      <c r="A1572" t="s">
        <v>420</v>
      </c>
      <c r="B1572" t="s">
        <v>88</v>
      </c>
      <c r="C1572" s="1">
        <v>45872</v>
      </c>
      <c r="D1572" t="s">
        <v>1262</v>
      </c>
      <c r="E1572" t="s">
        <v>422</v>
      </c>
      <c r="F1572" t="s">
        <v>109</v>
      </c>
      <c r="G1572" s="14">
        <v>48083</v>
      </c>
      <c r="H1572">
        <v>1375</v>
      </c>
      <c r="I1572">
        <v>34.97</v>
      </c>
      <c r="J1572">
        <v>58180.43</v>
      </c>
    </row>
    <row r="1573" spans="1:10" hidden="1" x14ac:dyDescent="0.25">
      <c r="A1573" t="s">
        <v>438</v>
      </c>
      <c r="B1573" t="s">
        <v>88</v>
      </c>
      <c r="C1573" s="1">
        <v>45872</v>
      </c>
      <c r="D1573" t="s">
        <v>1301</v>
      </c>
      <c r="E1573" t="s">
        <v>102</v>
      </c>
      <c r="F1573" t="s">
        <v>109</v>
      </c>
      <c r="G1573" s="14">
        <v>144000</v>
      </c>
      <c r="H1573">
        <v>1375</v>
      </c>
      <c r="I1573">
        <v>104.73</v>
      </c>
      <c r="J1573">
        <v>144000</v>
      </c>
    </row>
    <row r="1574" spans="1:10" hidden="1" x14ac:dyDescent="0.25">
      <c r="A1574" t="s">
        <v>1334</v>
      </c>
      <c r="B1574" t="s">
        <v>88</v>
      </c>
      <c r="C1574" s="1">
        <v>45872</v>
      </c>
      <c r="D1574" t="s">
        <v>1335</v>
      </c>
      <c r="E1574" t="s">
        <v>90</v>
      </c>
      <c r="F1574" t="s">
        <v>91</v>
      </c>
      <c r="G1574" s="14">
        <v>79037.23</v>
      </c>
      <c r="H1574">
        <v>1375</v>
      </c>
      <c r="I1574">
        <v>57.48</v>
      </c>
      <c r="J1574">
        <v>95635.06</v>
      </c>
    </row>
    <row r="1575" spans="1:10" hidden="1" x14ac:dyDescent="0.25">
      <c r="A1575" t="s">
        <v>1334</v>
      </c>
      <c r="B1575" t="s">
        <v>88</v>
      </c>
      <c r="C1575" s="1">
        <v>45872</v>
      </c>
      <c r="D1575" t="s">
        <v>1335</v>
      </c>
      <c r="E1575" t="s">
        <v>92</v>
      </c>
      <c r="F1575" t="s">
        <v>91</v>
      </c>
      <c r="G1575" s="14">
        <v>12052.01</v>
      </c>
      <c r="H1575">
        <v>1375</v>
      </c>
      <c r="I1575">
        <v>8.77</v>
      </c>
      <c r="J1575">
        <v>12052.01</v>
      </c>
    </row>
    <row r="1576" spans="1:10" hidden="1" x14ac:dyDescent="0.25">
      <c r="A1576" t="s">
        <v>112</v>
      </c>
      <c r="B1576" t="s">
        <v>88</v>
      </c>
      <c r="C1576" s="1">
        <v>45870</v>
      </c>
      <c r="D1576" t="s">
        <v>957</v>
      </c>
      <c r="E1576" t="s">
        <v>114</v>
      </c>
      <c r="F1576" t="s">
        <v>117</v>
      </c>
      <c r="G1576" s="14">
        <v>4275.46</v>
      </c>
      <c r="H1576">
        <v>1375</v>
      </c>
      <c r="I1576">
        <v>3.11</v>
      </c>
      <c r="J1576">
        <v>5173.3100000000004</v>
      </c>
    </row>
    <row r="1577" spans="1:10" hidden="1" x14ac:dyDescent="0.25">
      <c r="A1577" t="s">
        <v>161</v>
      </c>
      <c r="B1577" t="s">
        <v>88</v>
      </c>
      <c r="C1577" s="1">
        <v>45870</v>
      </c>
      <c r="D1577" t="s">
        <v>1001</v>
      </c>
      <c r="E1577" t="s">
        <v>136</v>
      </c>
      <c r="F1577" t="s">
        <v>6</v>
      </c>
      <c r="G1577" s="14">
        <v>50949.599999999999</v>
      </c>
      <c r="H1577">
        <v>1375</v>
      </c>
      <c r="I1577">
        <v>37.049999999999997</v>
      </c>
      <c r="J1577">
        <v>61649.02</v>
      </c>
    </row>
    <row r="1578" spans="1:10" hidden="1" x14ac:dyDescent="0.25">
      <c r="A1578" t="s">
        <v>265</v>
      </c>
      <c r="B1578" t="s">
        <v>88</v>
      </c>
      <c r="C1578" s="1">
        <v>45870</v>
      </c>
      <c r="D1578" t="s">
        <v>1103</v>
      </c>
      <c r="E1578" t="s">
        <v>267</v>
      </c>
      <c r="F1578" t="s">
        <v>109</v>
      </c>
      <c r="G1578" s="14">
        <v>81400</v>
      </c>
      <c r="H1578">
        <v>1375</v>
      </c>
      <c r="I1578">
        <v>59.2</v>
      </c>
      <c r="J1578">
        <v>98494</v>
      </c>
    </row>
    <row r="1579" spans="1:10" hidden="1" x14ac:dyDescent="0.25">
      <c r="A1579" t="s">
        <v>275</v>
      </c>
      <c r="B1579" t="s">
        <v>88</v>
      </c>
      <c r="C1579" s="1">
        <v>45870</v>
      </c>
      <c r="D1579" t="s">
        <v>1112</v>
      </c>
      <c r="E1579" t="s">
        <v>90</v>
      </c>
      <c r="F1579" t="s">
        <v>91</v>
      </c>
      <c r="G1579" s="14">
        <v>1174641.68</v>
      </c>
      <c r="H1579">
        <v>1375</v>
      </c>
      <c r="I1579">
        <v>854.28</v>
      </c>
      <c r="J1579">
        <v>1421316.44</v>
      </c>
    </row>
    <row r="1580" spans="1:10" hidden="1" x14ac:dyDescent="0.25">
      <c r="A1580" t="s">
        <v>275</v>
      </c>
      <c r="B1580" t="s">
        <v>88</v>
      </c>
      <c r="C1580" s="1">
        <v>45870</v>
      </c>
      <c r="D1580" t="s">
        <v>1112</v>
      </c>
      <c r="E1580" t="s">
        <v>92</v>
      </c>
      <c r="F1580" t="s">
        <v>91</v>
      </c>
      <c r="G1580" s="14">
        <v>199584.4</v>
      </c>
      <c r="H1580">
        <v>1375</v>
      </c>
      <c r="I1580">
        <v>145.15</v>
      </c>
      <c r="J1580">
        <v>199584.4</v>
      </c>
    </row>
    <row r="1581" spans="1:10" hidden="1" x14ac:dyDescent="0.25">
      <c r="A1581" t="s">
        <v>364</v>
      </c>
      <c r="B1581" t="s">
        <v>88</v>
      </c>
      <c r="C1581" s="1">
        <v>45870</v>
      </c>
      <c r="D1581" t="s">
        <v>1181</v>
      </c>
      <c r="E1581" t="s">
        <v>102</v>
      </c>
      <c r="F1581" t="s">
        <v>109</v>
      </c>
      <c r="G1581" s="14">
        <v>12000</v>
      </c>
      <c r="H1581">
        <v>1375</v>
      </c>
      <c r="I1581">
        <v>8.73</v>
      </c>
      <c r="J1581">
        <v>12000</v>
      </c>
    </row>
    <row r="1582" spans="1:10" hidden="1" x14ac:dyDescent="0.25">
      <c r="A1582" t="s">
        <v>791</v>
      </c>
      <c r="B1582" t="s">
        <v>96</v>
      </c>
      <c r="C1582" s="1">
        <v>45870</v>
      </c>
      <c r="D1582" t="s">
        <v>1246</v>
      </c>
      <c r="E1582" t="s">
        <v>98</v>
      </c>
      <c r="F1582" t="s">
        <v>551</v>
      </c>
      <c r="G1582" s="14">
        <v>29669.07</v>
      </c>
      <c r="H1582">
        <v>1375</v>
      </c>
      <c r="I1582">
        <v>21.58</v>
      </c>
      <c r="J1582">
        <v>29669.07</v>
      </c>
    </row>
    <row r="1583" spans="1:10" hidden="1" x14ac:dyDescent="0.25">
      <c r="A1583" t="s">
        <v>791</v>
      </c>
      <c r="B1583" t="s">
        <v>96</v>
      </c>
      <c r="C1583" s="1">
        <v>45870</v>
      </c>
      <c r="D1583" t="s">
        <v>1247</v>
      </c>
      <c r="E1583" t="s">
        <v>98</v>
      </c>
      <c r="F1583" t="s">
        <v>793</v>
      </c>
      <c r="G1583" s="14">
        <v>3030.62</v>
      </c>
      <c r="H1583">
        <v>1375</v>
      </c>
      <c r="I1583">
        <v>2.2000000000000002</v>
      </c>
      <c r="J1583">
        <v>3030.62</v>
      </c>
    </row>
    <row r="1584" spans="1:10" hidden="1" x14ac:dyDescent="0.25">
      <c r="A1584" t="s">
        <v>426</v>
      </c>
      <c r="B1584" t="s">
        <v>88</v>
      </c>
      <c r="C1584" s="1">
        <v>45870</v>
      </c>
      <c r="D1584" t="s">
        <v>1266</v>
      </c>
      <c r="E1584" t="s">
        <v>136</v>
      </c>
      <c r="F1584" t="s">
        <v>15</v>
      </c>
      <c r="G1584" s="14">
        <v>25979.07</v>
      </c>
      <c r="H1584">
        <v>1375</v>
      </c>
      <c r="I1584">
        <v>18.89</v>
      </c>
      <c r="J1584">
        <v>31434.67</v>
      </c>
    </row>
    <row r="1585" spans="1:10" hidden="1" x14ac:dyDescent="0.25">
      <c r="A1585" t="s">
        <v>478</v>
      </c>
      <c r="B1585" t="s">
        <v>88</v>
      </c>
      <c r="C1585" s="1">
        <v>45870</v>
      </c>
      <c r="D1585" t="s">
        <v>1357</v>
      </c>
      <c r="E1585" t="s">
        <v>205</v>
      </c>
      <c r="F1585" t="s">
        <v>109</v>
      </c>
      <c r="G1585" s="14">
        <v>21193.39</v>
      </c>
      <c r="H1585">
        <v>1375</v>
      </c>
      <c r="I1585">
        <v>15.41</v>
      </c>
      <c r="J1585">
        <v>25644</v>
      </c>
    </row>
    <row r="1586" spans="1:10" hidden="1" x14ac:dyDescent="0.25">
      <c r="A1586" t="s">
        <v>125</v>
      </c>
      <c r="B1586" t="s">
        <v>88</v>
      </c>
      <c r="C1586" s="1">
        <v>45869</v>
      </c>
      <c r="D1586" t="s">
        <v>970</v>
      </c>
      <c r="E1586" t="s">
        <v>114</v>
      </c>
      <c r="F1586" t="s">
        <v>117</v>
      </c>
      <c r="G1586" s="14">
        <v>3088.3</v>
      </c>
      <c r="H1586">
        <v>1380</v>
      </c>
      <c r="I1586">
        <v>2.2400000000000002</v>
      </c>
      <c r="J1586">
        <v>3736.84</v>
      </c>
    </row>
    <row r="1587" spans="1:10" hidden="1" x14ac:dyDescent="0.25">
      <c r="A1587" t="s">
        <v>125</v>
      </c>
      <c r="B1587" t="s">
        <v>88</v>
      </c>
      <c r="C1587" s="1">
        <v>45869</v>
      </c>
      <c r="D1587" t="s">
        <v>970</v>
      </c>
      <c r="E1587" t="s">
        <v>127</v>
      </c>
      <c r="F1587" t="s">
        <v>117</v>
      </c>
      <c r="G1587" s="14">
        <v>308.83999999999997</v>
      </c>
      <c r="H1587">
        <v>1380</v>
      </c>
      <c r="I1587">
        <v>0.22</v>
      </c>
      <c r="J1587">
        <v>308.83999999999997</v>
      </c>
    </row>
    <row r="1588" spans="1:10" hidden="1" x14ac:dyDescent="0.25">
      <c r="A1588" t="s">
        <v>132</v>
      </c>
      <c r="B1588" t="s">
        <v>88</v>
      </c>
      <c r="C1588" s="1">
        <v>45869</v>
      </c>
      <c r="D1588" t="s">
        <v>990</v>
      </c>
      <c r="E1588" t="s">
        <v>136</v>
      </c>
      <c r="F1588" t="s">
        <v>135</v>
      </c>
      <c r="G1588" s="14">
        <v>10714.66</v>
      </c>
      <c r="H1588">
        <v>1380</v>
      </c>
      <c r="I1588">
        <v>7.76</v>
      </c>
      <c r="J1588">
        <v>12964.74</v>
      </c>
    </row>
    <row r="1589" spans="1:10" hidden="1" x14ac:dyDescent="0.25">
      <c r="A1589" t="s">
        <v>182</v>
      </c>
      <c r="B1589" t="s">
        <v>88</v>
      </c>
      <c r="C1589" s="1">
        <v>45869</v>
      </c>
      <c r="D1589" t="s">
        <v>1044</v>
      </c>
      <c r="E1589" t="s">
        <v>184</v>
      </c>
      <c r="F1589" t="s">
        <v>621</v>
      </c>
      <c r="G1589" s="14">
        <v>9556.2099999999991</v>
      </c>
      <c r="H1589">
        <v>1380</v>
      </c>
      <c r="I1589">
        <v>6.92</v>
      </c>
      <c r="J1589">
        <v>11563.01</v>
      </c>
    </row>
    <row r="1590" spans="1:10" hidden="1" x14ac:dyDescent="0.25">
      <c r="A1590" t="s">
        <v>182</v>
      </c>
      <c r="B1590" t="s">
        <v>88</v>
      </c>
      <c r="C1590" s="1">
        <v>45869</v>
      </c>
      <c r="D1590" t="s">
        <v>1044</v>
      </c>
      <c r="E1590" t="s">
        <v>184</v>
      </c>
      <c r="F1590" t="s">
        <v>1045</v>
      </c>
      <c r="G1590" s="14">
        <v>9556.2199999999993</v>
      </c>
      <c r="H1590">
        <v>1380</v>
      </c>
      <c r="I1590">
        <v>6.92</v>
      </c>
      <c r="J1590">
        <v>11563.03</v>
      </c>
    </row>
    <row r="1591" spans="1:10" hidden="1" x14ac:dyDescent="0.25">
      <c r="A1591" t="s">
        <v>333</v>
      </c>
      <c r="B1591" t="s">
        <v>88</v>
      </c>
      <c r="C1591" s="1">
        <v>45869</v>
      </c>
      <c r="D1591" t="s">
        <v>1160</v>
      </c>
      <c r="E1591" t="s">
        <v>90</v>
      </c>
      <c r="F1591" t="s">
        <v>91</v>
      </c>
      <c r="G1591" s="14">
        <v>26283.64</v>
      </c>
      <c r="H1591">
        <v>1380</v>
      </c>
      <c r="I1591">
        <v>19.05</v>
      </c>
      <c r="J1591">
        <v>31803.21</v>
      </c>
    </row>
    <row r="1592" spans="1:10" hidden="1" x14ac:dyDescent="0.25">
      <c r="A1592" t="s">
        <v>333</v>
      </c>
      <c r="B1592" t="s">
        <v>88</v>
      </c>
      <c r="C1592" s="1">
        <v>45869</v>
      </c>
      <c r="D1592" t="s">
        <v>1160</v>
      </c>
      <c r="E1592" t="s">
        <v>92</v>
      </c>
      <c r="F1592" t="s">
        <v>91</v>
      </c>
      <c r="G1592" s="14">
        <v>5706.81</v>
      </c>
      <c r="H1592">
        <v>1380</v>
      </c>
      <c r="I1592">
        <v>4.1399999999999997</v>
      </c>
      <c r="J1592">
        <v>5706.81</v>
      </c>
    </row>
    <row r="1593" spans="1:10" hidden="1" x14ac:dyDescent="0.25">
      <c r="A1593" t="s">
        <v>346</v>
      </c>
      <c r="B1593" t="s">
        <v>88</v>
      </c>
      <c r="C1593" s="1">
        <v>45869</v>
      </c>
      <c r="D1593" t="s">
        <v>1171</v>
      </c>
      <c r="E1593" t="s">
        <v>90</v>
      </c>
      <c r="F1593" t="s">
        <v>91</v>
      </c>
      <c r="G1593" s="14">
        <v>86410.43</v>
      </c>
      <c r="H1593">
        <v>1380</v>
      </c>
      <c r="I1593">
        <v>62.62</v>
      </c>
      <c r="J1593">
        <v>104556.63</v>
      </c>
    </row>
    <row r="1594" spans="1:10" hidden="1" x14ac:dyDescent="0.25">
      <c r="A1594" t="s">
        <v>346</v>
      </c>
      <c r="B1594" t="s">
        <v>88</v>
      </c>
      <c r="C1594" s="1">
        <v>45869</v>
      </c>
      <c r="D1594" t="s">
        <v>1171</v>
      </c>
      <c r="E1594" t="s">
        <v>92</v>
      </c>
      <c r="F1594" t="s">
        <v>91</v>
      </c>
      <c r="G1594" s="14">
        <v>13944.17</v>
      </c>
      <c r="H1594">
        <v>1380</v>
      </c>
      <c r="I1594">
        <v>10.1</v>
      </c>
      <c r="J1594">
        <v>13944.17</v>
      </c>
    </row>
    <row r="1595" spans="1:10" hidden="1" x14ac:dyDescent="0.25">
      <c r="A1595" t="s">
        <v>349</v>
      </c>
      <c r="B1595" t="s">
        <v>96</v>
      </c>
      <c r="C1595" s="1">
        <v>45869</v>
      </c>
      <c r="D1595" t="s">
        <v>1174</v>
      </c>
      <c r="E1595" t="s">
        <v>102</v>
      </c>
      <c r="F1595" t="s">
        <v>109</v>
      </c>
      <c r="G1595" s="14">
        <v>174192</v>
      </c>
      <c r="H1595">
        <v>1380</v>
      </c>
      <c r="I1595">
        <v>126.23</v>
      </c>
      <c r="J1595">
        <v>174192</v>
      </c>
    </row>
    <row r="1596" spans="1:10" hidden="1" x14ac:dyDescent="0.25">
      <c r="A1596" t="s">
        <v>400</v>
      </c>
      <c r="B1596" t="s">
        <v>88</v>
      </c>
      <c r="C1596" s="1">
        <v>45869</v>
      </c>
      <c r="D1596" t="s">
        <v>1231</v>
      </c>
      <c r="E1596" t="s">
        <v>184</v>
      </c>
      <c r="F1596" t="s">
        <v>22</v>
      </c>
      <c r="G1596" s="14">
        <v>77530.12</v>
      </c>
      <c r="H1596">
        <v>1380</v>
      </c>
      <c r="I1596">
        <v>56.18</v>
      </c>
      <c r="J1596">
        <v>93811.45</v>
      </c>
    </row>
    <row r="1597" spans="1:10" hidden="1" x14ac:dyDescent="0.25">
      <c r="A1597" t="s">
        <v>436</v>
      </c>
      <c r="B1597" t="s">
        <v>88</v>
      </c>
      <c r="C1597" s="1">
        <v>45869</v>
      </c>
      <c r="D1597" t="s">
        <v>1294</v>
      </c>
      <c r="E1597" t="s">
        <v>205</v>
      </c>
      <c r="F1597" t="s">
        <v>206</v>
      </c>
      <c r="G1597" s="14">
        <v>107927.78</v>
      </c>
      <c r="H1597">
        <v>1380</v>
      </c>
      <c r="I1597">
        <v>78.209999999999994</v>
      </c>
      <c r="J1597">
        <v>130592.61</v>
      </c>
    </row>
    <row r="1598" spans="1:10" hidden="1" x14ac:dyDescent="0.25">
      <c r="A1598" t="s">
        <v>521</v>
      </c>
      <c r="B1598" t="s">
        <v>88</v>
      </c>
      <c r="C1598" s="1">
        <v>45869</v>
      </c>
      <c r="D1598" t="s">
        <v>1469</v>
      </c>
      <c r="E1598" t="s">
        <v>184</v>
      </c>
      <c r="F1598" t="s">
        <v>135</v>
      </c>
      <c r="G1598" s="14">
        <v>22800</v>
      </c>
      <c r="H1598">
        <v>1380</v>
      </c>
      <c r="I1598">
        <v>16.52</v>
      </c>
      <c r="J1598">
        <v>27588</v>
      </c>
    </row>
    <row r="1599" spans="1:10" hidden="1" x14ac:dyDescent="0.25">
      <c r="A1599" t="s">
        <v>324</v>
      </c>
      <c r="B1599" t="s">
        <v>88</v>
      </c>
      <c r="C1599" s="1">
        <v>45868</v>
      </c>
      <c r="D1599" t="s">
        <v>1158</v>
      </c>
      <c r="E1599" t="s">
        <v>329</v>
      </c>
      <c r="F1599" t="s">
        <v>22</v>
      </c>
      <c r="G1599" s="14">
        <v>63320</v>
      </c>
      <c r="H1599">
        <v>1325</v>
      </c>
      <c r="I1599">
        <v>47.79</v>
      </c>
      <c r="J1599">
        <v>63320</v>
      </c>
    </row>
    <row r="1600" spans="1:10" hidden="1" x14ac:dyDescent="0.25">
      <c r="A1600" t="s">
        <v>483</v>
      </c>
      <c r="B1600" t="s">
        <v>88</v>
      </c>
      <c r="C1600" s="1">
        <v>45868</v>
      </c>
      <c r="D1600" t="s">
        <v>1381</v>
      </c>
      <c r="E1600" t="s">
        <v>136</v>
      </c>
      <c r="F1600" t="s">
        <v>135</v>
      </c>
      <c r="G1600" s="14">
        <v>82500</v>
      </c>
      <c r="H1600">
        <v>1325</v>
      </c>
      <c r="I1600">
        <v>62.26</v>
      </c>
      <c r="J1600">
        <v>99825</v>
      </c>
    </row>
    <row r="1601" spans="1:10" hidden="1" x14ac:dyDescent="0.25">
      <c r="A1601" t="s">
        <v>246</v>
      </c>
      <c r="B1601" t="s">
        <v>88</v>
      </c>
      <c r="C1601" s="1">
        <v>45867</v>
      </c>
      <c r="D1601" t="s">
        <v>1087</v>
      </c>
      <c r="E1601" t="s">
        <v>114</v>
      </c>
      <c r="F1601" t="s">
        <v>117</v>
      </c>
      <c r="G1601" s="14">
        <v>15599.76</v>
      </c>
      <c r="H1601">
        <v>1300</v>
      </c>
      <c r="I1601">
        <v>12</v>
      </c>
      <c r="J1601">
        <v>18875.71</v>
      </c>
    </row>
    <row r="1602" spans="1:10" hidden="1" x14ac:dyDescent="0.25">
      <c r="A1602" t="s">
        <v>246</v>
      </c>
      <c r="B1602" t="s">
        <v>88</v>
      </c>
      <c r="C1602" s="1">
        <v>45867</v>
      </c>
      <c r="D1602" t="s">
        <v>1088</v>
      </c>
      <c r="E1602" t="s">
        <v>114</v>
      </c>
      <c r="F1602" t="s">
        <v>117</v>
      </c>
      <c r="G1602" s="14">
        <v>4159.8999999999996</v>
      </c>
      <c r="H1602">
        <v>1300</v>
      </c>
      <c r="I1602">
        <v>3.2</v>
      </c>
      <c r="J1602">
        <v>5033.4799999999996</v>
      </c>
    </row>
    <row r="1603" spans="1:10" hidden="1" x14ac:dyDescent="0.25">
      <c r="A1603" t="s">
        <v>1096</v>
      </c>
      <c r="B1603" t="s">
        <v>279</v>
      </c>
      <c r="C1603" s="1">
        <v>45867</v>
      </c>
      <c r="D1603" t="s">
        <v>1101</v>
      </c>
      <c r="E1603" t="s">
        <v>205</v>
      </c>
      <c r="G1603" s="14">
        <v>-545454.52</v>
      </c>
      <c r="H1603">
        <v>1300</v>
      </c>
      <c r="I1603">
        <v>-419.58</v>
      </c>
      <c r="J1603">
        <v>-659999.97</v>
      </c>
    </row>
    <row r="1604" spans="1:10" hidden="1" x14ac:dyDescent="0.25">
      <c r="A1604" t="s">
        <v>1096</v>
      </c>
      <c r="B1604" t="s">
        <v>279</v>
      </c>
      <c r="C1604" s="1">
        <v>45867</v>
      </c>
      <c r="D1604" t="s">
        <v>1102</v>
      </c>
      <c r="E1604" t="s">
        <v>205</v>
      </c>
      <c r="G1604" s="14">
        <v>-528925.66</v>
      </c>
      <c r="H1604">
        <v>1300</v>
      </c>
      <c r="I1604">
        <v>-406.87</v>
      </c>
      <c r="J1604">
        <v>-640000.05000000005</v>
      </c>
    </row>
    <row r="1605" spans="1:10" hidden="1" x14ac:dyDescent="0.25">
      <c r="A1605" t="s">
        <v>515</v>
      </c>
      <c r="B1605" t="s">
        <v>88</v>
      </c>
      <c r="C1605" s="1">
        <v>45867</v>
      </c>
      <c r="D1605" t="s">
        <v>1466</v>
      </c>
      <c r="E1605" t="s">
        <v>184</v>
      </c>
      <c r="F1605" t="s">
        <v>15</v>
      </c>
      <c r="G1605" s="14">
        <v>11826</v>
      </c>
      <c r="H1605">
        <v>1300</v>
      </c>
      <c r="I1605">
        <v>9.1</v>
      </c>
      <c r="J1605">
        <v>14309.46</v>
      </c>
    </row>
    <row r="1606" spans="1:10" hidden="1" x14ac:dyDescent="0.25">
      <c r="A1606" t="s">
        <v>552</v>
      </c>
      <c r="B1606" t="s">
        <v>88</v>
      </c>
      <c r="C1606" s="1">
        <v>45867</v>
      </c>
      <c r="D1606" t="s">
        <v>1508</v>
      </c>
      <c r="E1606" t="s">
        <v>136</v>
      </c>
      <c r="F1606" t="s">
        <v>1045</v>
      </c>
      <c r="G1606" s="14">
        <v>316488.59999999998</v>
      </c>
      <c r="H1606">
        <v>1300</v>
      </c>
      <c r="I1606">
        <v>243.45</v>
      </c>
      <c r="J1606">
        <v>382951.21</v>
      </c>
    </row>
    <row r="1607" spans="1:10" hidden="1" x14ac:dyDescent="0.25">
      <c r="A1607" t="s">
        <v>552</v>
      </c>
      <c r="B1607" t="s">
        <v>88</v>
      </c>
      <c r="C1607" s="1">
        <v>45867</v>
      </c>
      <c r="D1607" t="s">
        <v>1509</v>
      </c>
      <c r="E1607" t="s">
        <v>136</v>
      </c>
      <c r="G1607" s="14">
        <v>211800.8</v>
      </c>
      <c r="H1607">
        <v>1300</v>
      </c>
      <c r="I1607">
        <v>162.91999999999999</v>
      </c>
      <c r="J1607">
        <v>256278.97</v>
      </c>
    </row>
    <row r="1608" spans="1:10" hidden="1" x14ac:dyDescent="0.25">
      <c r="A1608" t="s">
        <v>552</v>
      </c>
      <c r="B1608" t="s">
        <v>88</v>
      </c>
      <c r="C1608" s="1">
        <v>45867</v>
      </c>
      <c r="D1608" t="s">
        <v>1510</v>
      </c>
      <c r="E1608" t="s">
        <v>136</v>
      </c>
      <c r="F1608" t="s">
        <v>621</v>
      </c>
      <c r="G1608" s="14">
        <v>287103.12</v>
      </c>
      <c r="H1608">
        <v>1300</v>
      </c>
      <c r="I1608">
        <v>220.85</v>
      </c>
      <c r="J1608">
        <v>347394.78</v>
      </c>
    </row>
    <row r="1609" spans="1:10" hidden="1" x14ac:dyDescent="0.25">
      <c r="A1609" t="s">
        <v>552</v>
      </c>
      <c r="B1609" t="s">
        <v>279</v>
      </c>
      <c r="C1609" s="1">
        <v>45867</v>
      </c>
      <c r="D1609" t="s">
        <v>1511</v>
      </c>
      <c r="E1609" t="s">
        <v>136</v>
      </c>
      <c r="G1609" s="14">
        <v>-211800.8</v>
      </c>
      <c r="H1609">
        <v>1300</v>
      </c>
      <c r="I1609">
        <v>-162.91999999999999</v>
      </c>
      <c r="J1609">
        <v>-256278.97</v>
      </c>
    </row>
    <row r="1610" spans="1:10" hidden="1" x14ac:dyDescent="0.25">
      <c r="A1610" t="s">
        <v>483</v>
      </c>
      <c r="B1610" t="s">
        <v>88</v>
      </c>
      <c r="C1610" s="1">
        <v>45866</v>
      </c>
      <c r="D1610" t="s">
        <v>1380</v>
      </c>
      <c r="E1610" t="s">
        <v>136</v>
      </c>
      <c r="F1610" t="s">
        <v>621</v>
      </c>
      <c r="G1610" s="14">
        <v>39372.6</v>
      </c>
      <c r="H1610">
        <v>1305</v>
      </c>
      <c r="I1610">
        <v>30.17</v>
      </c>
      <c r="J1610">
        <v>47640.85</v>
      </c>
    </row>
    <row r="1611" spans="1:10" hidden="1" x14ac:dyDescent="0.25">
      <c r="A1611" t="s">
        <v>483</v>
      </c>
      <c r="B1611" t="s">
        <v>88</v>
      </c>
      <c r="C1611" s="1">
        <v>45866</v>
      </c>
      <c r="D1611" t="s">
        <v>1380</v>
      </c>
      <c r="E1611" t="s">
        <v>136</v>
      </c>
      <c r="F1611" t="s">
        <v>6</v>
      </c>
      <c r="G1611" s="14">
        <v>118117.8</v>
      </c>
      <c r="H1611">
        <v>1305</v>
      </c>
      <c r="I1611">
        <v>90.51</v>
      </c>
      <c r="J1611">
        <v>142922.54</v>
      </c>
    </row>
    <row r="1612" spans="1:10" hidden="1" x14ac:dyDescent="0.25">
      <c r="A1612" t="s">
        <v>483</v>
      </c>
      <c r="B1612" t="s">
        <v>88</v>
      </c>
      <c r="C1612" s="1">
        <v>45866</v>
      </c>
      <c r="D1612" t="s">
        <v>1380</v>
      </c>
      <c r="E1612" t="s">
        <v>136</v>
      </c>
      <c r="F1612" t="s">
        <v>135</v>
      </c>
      <c r="G1612" s="14">
        <v>236235.6</v>
      </c>
      <c r="H1612">
        <v>1305</v>
      </c>
      <c r="I1612">
        <v>181.02</v>
      </c>
      <c r="J1612">
        <v>285845.08</v>
      </c>
    </row>
    <row r="1613" spans="1:10" hidden="1" x14ac:dyDescent="0.25">
      <c r="A1613" t="s">
        <v>483</v>
      </c>
      <c r="B1613" t="s">
        <v>88</v>
      </c>
      <c r="C1613" s="1">
        <v>45866</v>
      </c>
      <c r="D1613" t="s">
        <v>1380</v>
      </c>
      <c r="E1613" t="s">
        <v>136</v>
      </c>
      <c r="F1613" t="s">
        <v>15</v>
      </c>
      <c r="G1613" s="14">
        <v>393726</v>
      </c>
      <c r="H1613">
        <v>1305</v>
      </c>
      <c r="I1613">
        <v>301.70999999999998</v>
      </c>
      <c r="J1613">
        <v>476408.45</v>
      </c>
    </row>
    <row r="1614" spans="1:10" hidden="1" x14ac:dyDescent="0.25">
      <c r="A1614" t="s">
        <v>497</v>
      </c>
      <c r="B1614" t="s">
        <v>88</v>
      </c>
      <c r="C1614" s="1">
        <v>45866</v>
      </c>
      <c r="D1614" t="s">
        <v>1403</v>
      </c>
      <c r="E1614" t="s">
        <v>136</v>
      </c>
      <c r="F1614" t="s">
        <v>621</v>
      </c>
      <c r="G1614" s="14">
        <v>9488.1299999999992</v>
      </c>
      <c r="H1614">
        <v>1305</v>
      </c>
      <c r="I1614">
        <v>7.27</v>
      </c>
      <c r="J1614">
        <v>11480.64</v>
      </c>
    </row>
    <row r="1615" spans="1:10" hidden="1" x14ac:dyDescent="0.25">
      <c r="A1615" t="s">
        <v>161</v>
      </c>
      <c r="B1615" t="s">
        <v>88</v>
      </c>
      <c r="C1615" s="1">
        <v>45863</v>
      </c>
      <c r="D1615" t="s">
        <v>1013</v>
      </c>
      <c r="E1615" t="s">
        <v>136</v>
      </c>
      <c r="F1615" t="s">
        <v>6</v>
      </c>
      <c r="G1615" s="14">
        <v>657020.5</v>
      </c>
      <c r="H1615">
        <v>1295</v>
      </c>
      <c r="I1615">
        <v>507.35</v>
      </c>
      <c r="J1615">
        <v>794994.81</v>
      </c>
    </row>
    <row r="1616" spans="1:10" hidden="1" x14ac:dyDescent="0.25">
      <c r="A1616" t="s">
        <v>1047</v>
      </c>
      <c r="B1616" t="s">
        <v>263</v>
      </c>
      <c r="C1616" s="1">
        <v>45863</v>
      </c>
      <c r="D1616" t="s">
        <v>1048</v>
      </c>
      <c r="E1616" t="s">
        <v>1000</v>
      </c>
      <c r="F1616" t="s">
        <v>1045</v>
      </c>
      <c r="G1616" s="14">
        <v>44400</v>
      </c>
      <c r="H1616">
        <v>1295</v>
      </c>
      <c r="I1616">
        <v>34.29</v>
      </c>
      <c r="J1616">
        <v>44400</v>
      </c>
    </row>
    <row r="1617" spans="1:10" hidden="1" x14ac:dyDescent="0.25">
      <c r="A1617" t="s">
        <v>1047</v>
      </c>
      <c r="B1617" t="s">
        <v>263</v>
      </c>
      <c r="C1617" s="1">
        <v>45863</v>
      </c>
      <c r="D1617" t="s">
        <v>1049</v>
      </c>
      <c r="E1617" t="s">
        <v>1000</v>
      </c>
      <c r="F1617" t="s">
        <v>1045</v>
      </c>
      <c r="G1617" s="14">
        <v>69720</v>
      </c>
      <c r="H1617">
        <v>1295</v>
      </c>
      <c r="I1617">
        <v>53.84</v>
      </c>
      <c r="J1617">
        <v>69720</v>
      </c>
    </row>
    <row r="1618" spans="1:10" hidden="1" x14ac:dyDescent="0.25">
      <c r="A1618" t="s">
        <v>1047</v>
      </c>
      <c r="B1618" t="s">
        <v>263</v>
      </c>
      <c r="C1618" s="1">
        <v>45863</v>
      </c>
      <c r="D1618" t="s">
        <v>1050</v>
      </c>
      <c r="E1618" t="s">
        <v>1000</v>
      </c>
      <c r="F1618" t="s">
        <v>1045</v>
      </c>
      <c r="G1618" s="14">
        <v>54244</v>
      </c>
      <c r="H1618">
        <v>1295</v>
      </c>
      <c r="I1618">
        <v>41.89</v>
      </c>
      <c r="J1618">
        <v>54244</v>
      </c>
    </row>
    <row r="1619" spans="1:10" hidden="1" x14ac:dyDescent="0.25">
      <c r="A1619" t="s">
        <v>1047</v>
      </c>
      <c r="B1619" t="s">
        <v>263</v>
      </c>
      <c r="C1619" s="1">
        <v>45863</v>
      </c>
      <c r="D1619" t="s">
        <v>1051</v>
      </c>
      <c r="E1619" t="s">
        <v>1000</v>
      </c>
      <c r="F1619" t="s">
        <v>1045</v>
      </c>
      <c r="G1619" s="14">
        <v>63600</v>
      </c>
      <c r="H1619">
        <v>1295</v>
      </c>
      <c r="I1619">
        <v>49.11</v>
      </c>
      <c r="J1619">
        <v>63600</v>
      </c>
    </row>
    <row r="1620" spans="1:10" hidden="1" x14ac:dyDescent="0.25">
      <c r="A1620" t="s">
        <v>346</v>
      </c>
      <c r="B1620" t="s">
        <v>88</v>
      </c>
      <c r="C1620" s="1">
        <v>45863</v>
      </c>
      <c r="D1620" t="s">
        <v>1170</v>
      </c>
      <c r="E1620" t="s">
        <v>90</v>
      </c>
      <c r="F1620" t="s">
        <v>91</v>
      </c>
      <c r="G1620" s="14">
        <v>86734.84</v>
      </c>
      <c r="H1620">
        <v>1295</v>
      </c>
      <c r="I1620">
        <v>66.98</v>
      </c>
      <c r="J1620">
        <v>104949.17</v>
      </c>
    </row>
    <row r="1621" spans="1:10" hidden="1" x14ac:dyDescent="0.25">
      <c r="A1621" t="s">
        <v>346</v>
      </c>
      <c r="B1621" t="s">
        <v>88</v>
      </c>
      <c r="C1621" s="1">
        <v>45863</v>
      </c>
      <c r="D1621" t="s">
        <v>1170</v>
      </c>
      <c r="E1621" t="s">
        <v>92</v>
      </c>
      <c r="F1621" t="s">
        <v>91</v>
      </c>
      <c r="G1621" s="14">
        <v>13996.53</v>
      </c>
      <c r="H1621">
        <v>1295</v>
      </c>
      <c r="I1621">
        <v>10.81</v>
      </c>
      <c r="J1621">
        <v>13996.53</v>
      </c>
    </row>
    <row r="1622" spans="1:10" hidden="1" x14ac:dyDescent="0.25">
      <c r="A1622" t="s">
        <v>426</v>
      </c>
      <c r="B1622" t="s">
        <v>88</v>
      </c>
      <c r="C1622" s="1">
        <v>45863</v>
      </c>
      <c r="D1622" t="s">
        <v>1287</v>
      </c>
      <c r="E1622" t="s">
        <v>136</v>
      </c>
      <c r="F1622" t="s">
        <v>15</v>
      </c>
      <c r="G1622" s="14">
        <v>118019.75</v>
      </c>
      <c r="H1622">
        <v>1295</v>
      </c>
      <c r="I1622">
        <v>91.13</v>
      </c>
      <c r="J1622">
        <v>142803.9</v>
      </c>
    </row>
    <row r="1623" spans="1:10" hidden="1" x14ac:dyDescent="0.25">
      <c r="A1623" t="s">
        <v>497</v>
      </c>
      <c r="B1623" t="s">
        <v>88</v>
      </c>
      <c r="C1623" s="1">
        <v>45863</v>
      </c>
      <c r="D1623" t="s">
        <v>1402</v>
      </c>
      <c r="E1623" t="s">
        <v>136</v>
      </c>
      <c r="F1623" t="s">
        <v>621</v>
      </c>
      <c r="G1623" s="14">
        <v>26651.65</v>
      </c>
      <c r="H1623">
        <v>1295</v>
      </c>
      <c r="I1623">
        <v>20.58</v>
      </c>
      <c r="J1623">
        <v>32248.5</v>
      </c>
    </row>
    <row r="1624" spans="1:10" hidden="1" x14ac:dyDescent="0.25">
      <c r="A1624" t="s">
        <v>871</v>
      </c>
      <c r="B1624" t="s">
        <v>88</v>
      </c>
      <c r="C1624" s="1">
        <v>45863</v>
      </c>
      <c r="D1624" t="s">
        <v>1418</v>
      </c>
      <c r="E1624" t="s">
        <v>136</v>
      </c>
      <c r="F1624" t="s">
        <v>22</v>
      </c>
      <c r="G1624" s="14">
        <v>2653264.7999999998</v>
      </c>
      <c r="H1624">
        <v>1295</v>
      </c>
      <c r="I1624">
        <v>2048.85</v>
      </c>
      <c r="J1624">
        <v>3210450.41</v>
      </c>
    </row>
    <row r="1625" spans="1:10" hidden="1" x14ac:dyDescent="0.25">
      <c r="A1625" t="s">
        <v>510</v>
      </c>
      <c r="B1625" t="s">
        <v>96</v>
      </c>
      <c r="C1625" s="1">
        <v>45863</v>
      </c>
      <c r="D1625" t="s">
        <v>1431</v>
      </c>
      <c r="E1625" t="s">
        <v>127</v>
      </c>
      <c r="F1625" t="s">
        <v>115</v>
      </c>
      <c r="G1625" s="14">
        <v>3596.35</v>
      </c>
      <c r="H1625">
        <v>1295</v>
      </c>
      <c r="I1625">
        <v>2.78</v>
      </c>
      <c r="J1625">
        <v>3596.35</v>
      </c>
    </row>
    <row r="1626" spans="1:10" hidden="1" x14ac:dyDescent="0.25">
      <c r="A1626" t="s">
        <v>533</v>
      </c>
      <c r="B1626" t="s">
        <v>88</v>
      </c>
      <c r="C1626" s="1">
        <v>45863</v>
      </c>
      <c r="D1626" t="s">
        <v>1489</v>
      </c>
      <c r="E1626" t="s">
        <v>90</v>
      </c>
      <c r="F1626" t="s">
        <v>91</v>
      </c>
      <c r="G1626" s="14">
        <v>91231.18</v>
      </c>
      <c r="H1626">
        <v>1295</v>
      </c>
      <c r="I1626">
        <v>70.45</v>
      </c>
      <c r="J1626">
        <v>110389.73</v>
      </c>
    </row>
    <row r="1627" spans="1:10" hidden="1" x14ac:dyDescent="0.25">
      <c r="A1627" t="s">
        <v>533</v>
      </c>
      <c r="B1627" t="s">
        <v>88</v>
      </c>
      <c r="C1627" s="1">
        <v>45863</v>
      </c>
      <c r="D1627" t="s">
        <v>1489</v>
      </c>
      <c r="E1627" t="s">
        <v>92</v>
      </c>
      <c r="F1627" t="s">
        <v>91</v>
      </c>
      <c r="G1627" s="14">
        <v>12632.33</v>
      </c>
      <c r="H1627">
        <v>1295</v>
      </c>
      <c r="I1627">
        <v>9.75</v>
      </c>
      <c r="J1627">
        <v>12632.33</v>
      </c>
    </row>
    <row r="1628" spans="1:10" hidden="1" x14ac:dyDescent="0.25">
      <c r="A1628" t="s">
        <v>132</v>
      </c>
      <c r="B1628" t="s">
        <v>88</v>
      </c>
      <c r="C1628" s="1">
        <v>45861</v>
      </c>
      <c r="D1628" t="s">
        <v>988</v>
      </c>
      <c r="E1628" t="s">
        <v>136</v>
      </c>
      <c r="F1628" t="s">
        <v>976</v>
      </c>
      <c r="G1628" s="14">
        <v>9549.56</v>
      </c>
      <c r="H1628">
        <v>1275</v>
      </c>
      <c r="I1628">
        <v>7.49</v>
      </c>
      <c r="J1628">
        <v>11554.97</v>
      </c>
    </row>
    <row r="1629" spans="1:10" hidden="1" x14ac:dyDescent="0.25">
      <c r="A1629" t="s">
        <v>1413</v>
      </c>
      <c r="B1629" t="s">
        <v>96</v>
      </c>
      <c r="C1629" s="1">
        <v>45861</v>
      </c>
      <c r="D1629" t="s">
        <v>1415</v>
      </c>
      <c r="E1629" t="s">
        <v>1412</v>
      </c>
      <c r="G1629" s="14">
        <v>241320</v>
      </c>
      <c r="H1629">
        <v>1275</v>
      </c>
      <c r="I1629">
        <v>189.27</v>
      </c>
      <c r="J1629">
        <v>241320</v>
      </c>
    </row>
    <row r="1630" spans="1:10" hidden="1" x14ac:dyDescent="0.25">
      <c r="A1630" t="s">
        <v>515</v>
      </c>
      <c r="B1630" t="s">
        <v>88</v>
      </c>
      <c r="C1630" s="1">
        <v>45861</v>
      </c>
      <c r="D1630" t="s">
        <v>1461</v>
      </c>
      <c r="E1630" t="s">
        <v>184</v>
      </c>
      <c r="F1630" t="s">
        <v>22</v>
      </c>
      <c r="G1630" s="14">
        <v>78178</v>
      </c>
      <c r="H1630">
        <v>1275</v>
      </c>
      <c r="I1630">
        <v>61.32</v>
      </c>
      <c r="J1630">
        <v>94595.38</v>
      </c>
    </row>
    <row r="1631" spans="1:10" hidden="1" x14ac:dyDescent="0.25">
      <c r="A1631" t="s">
        <v>132</v>
      </c>
      <c r="B1631" t="s">
        <v>88</v>
      </c>
      <c r="C1631" s="1">
        <v>45860</v>
      </c>
      <c r="D1631" t="s">
        <v>986</v>
      </c>
      <c r="E1631" t="s">
        <v>136</v>
      </c>
      <c r="F1631" t="s">
        <v>987</v>
      </c>
      <c r="G1631" s="14">
        <v>9743.6</v>
      </c>
      <c r="H1631">
        <v>1275</v>
      </c>
      <c r="I1631">
        <v>7.64</v>
      </c>
      <c r="J1631">
        <v>11789.76</v>
      </c>
    </row>
    <row r="1632" spans="1:10" hidden="1" x14ac:dyDescent="0.25">
      <c r="A1632" t="s">
        <v>246</v>
      </c>
      <c r="B1632" t="s">
        <v>88</v>
      </c>
      <c r="C1632" s="1">
        <v>45860</v>
      </c>
      <c r="D1632" t="s">
        <v>1084</v>
      </c>
      <c r="E1632" t="s">
        <v>114</v>
      </c>
      <c r="F1632" t="s">
        <v>117</v>
      </c>
      <c r="G1632" s="14">
        <v>2079.9699999999998</v>
      </c>
      <c r="H1632">
        <v>1275</v>
      </c>
      <c r="I1632">
        <v>1.63</v>
      </c>
      <c r="J1632">
        <v>2516.7600000000002</v>
      </c>
    </row>
    <row r="1633" spans="1:10" hidden="1" x14ac:dyDescent="0.25">
      <c r="A1633" t="s">
        <v>336</v>
      </c>
      <c r="B1633" t="s">
        <v>88</v>
      </c>
      <c r="C1633" s="1">
        <v>45860</v>
      </c>
      <c r="D1633" t="s">
        <v>1161</v>
      </c>
      <c r="E1633" t="s">
        <v>205</v>
      </c>
      <c r="F1633" t="s">
        <v>109</v>
      </c>
      <c r="G1633" s="14">
        <v>207700</v>
      </c>
      <c r="H1633">
        <v>1275</v>
      </c>
      <c r="I1633">
        <v>162.9</v>
      </c>
      <c r="J1633">
        <v>251317</v>
      </c>
    </row>
    <row r="1634" spans="1:10" hidden="1" x14ac:dyDescent="0.25">
      <c r="A1634" t="s">
        <v>400</v>
      </c>
      <c r="B1634" t="s">
        <v>88</v>
      </c>
      <c r="C1634" s="1">
        <v>45860</v>
      </c>
      <c r="D1634" t="s">
        <v>1227</v>
      </c>
      <c r="E1634" t="s">
        <v>184</v>
      </c>
      <c r="F1634" t="s">
        <v>135</v>
      </c>
      <c r="G1634" s="14">
        <v>9015.5</v>
      </c>
      <c r="H1634">
        <v>1275</v>
      </c>
      <c r="I1634">
        <v>7.07</v>
      </c>
      <c r="J1634">
        <v>10908.76</v>
      </c>
    </row>
    <row r="1635" spans="1:10" hidden="1" x14ac:dyDescent="0.25">
      <c r="A1635" t="s">
        <v>466</v>
      </c>
      <c r="B1635" t="s">
        <v>88</v>
      </c>
      <c r="C1635" s="1">
        <v>45860</v>
      </c>
      <c r="D1635" t="s">
        <v>1341</v>
      </c>
      <c r="E1635" t="s">
        <v>136</v>
      </c>
      <c r="F1635" t="s">
        <v>6</v>
      </c>
      <c r="G1635" s="14">
        <v>525682.5</v>
      </c>
      <c r="H1635">
        <v>1275</v>
      </c>
      <c r="I1635">
        <v>412.3</v>
      </c>
      <c r="J1635">
        <v>636075.82999999996</v>
      </c>
    </row>
    <row r="1636" spans="1:10" hidden="1" x14ac:dyDescent="0.25">
      <c r="A1636" t="s">
        <v>1096</v>
      </c>
      <c r="B1636" t="s">
        <v>88</v>
      </c>
      <c r="C1636" s="1">
        <v>45859</v>
      </c>
      <c r="D1636" t="s">
        <v>1100</v>
      </c>
      <c r="E1636" t="s">
        <v>205</v>
      </c>
      <c r="G1636" s="14">
        <v>528925.66</v>
      </c>
      <c r="H1636">
        <v>1300</v>
      </c>
      <c r="I1636">
        <v>406.87</v>
      </c>
      <c r="J1636">
        <v>640000.05000000005</v>
      </c>
    </row>
    <row r="1637" spans="1:10" hidden="1" x14ac:dyDescent="0.25">
      <c r="A1637" t="s">
        <v>426</v>
      </c>
      <c r="B1637" t="s">
        <v>88</v>
      </c>
      <c r="C1637" s="1">
        <v>45859</v>
      </c>
      <c r="D1637" t="s">
        <v>1283</v>
      </c>
      <c r="E1637" t="s">
        <v>134</v>
      </c>
      <c r="F1637" t="s">
        <v>22</v>
      </c>
      <c r="G1637" s="14">
        <v>5496.49</v>
      </c>
      <c r="H1637">
        <v>1300</v>
      </c>
      <c r="I1637">
        <v>4.2300000000000004</v>
      </c>
      <c r="J1637">
        <v>6073.62</v>
      </c>
    </row>
    <row r="1638" spans="1:10" hidden="1" x14ac:dyDescent="0.25">
      <c r="A1638" t="s">
        <v>426</v>
      </c>
      <c r="B1638" t="s">
        <v>88</v>
      </c>
      <c r="C1638" s="1">
        <v>45859</v>
      </c>
      <c r="D1638" t="s">
        <v>1283</v>
      </c>
      <c r="E1638" t="s">
        <v>136</v>
      </c>
      <c r="F1638" t="s">
        <v>22</v>
      </c>
      <c r="G1638" s="14">
        <v>6448946.5899999999</v>
      </c>
      <c r="H1638">
        <v>1300</v>
      </c>
      <c r="I1638">
        <v>4960.7299999999996</v>
      </c>
      <c r="J1638">
        <v>7799762.5899999999</v>
      </c>
    </row>
    <row r="1639" spans="1:10" hidden="1" x14ac:dyDescent="0.25">
      <c r="A1639" t="s">
        <v>552</v>
      </c>
      <c r="B1639" t="s">
        <v>88</v>
      </c>
      <c r="C1639" s="1">
        <v>45859</v>
      </c>
      <c r="D1639" t="s">
        <v>1505</v>
      </c>
      <c r="E1639" t="s">
        <v>136</v>
      </c>
      <c r="F1639" t="s">
        <v>6</v>
      </c>
      <c r="G1639" s="14">
        <v>6499547.2999999998</v>
      </c>
      <c r="H1639">
        <v>1300</v>
      </c>
      <c r="I1639">
        <v>4999.6499999999996</v>
      </c>
      <c r="J1639">
        <v>7864452.2300000004</v>
      </c>
    </row>
    <row r="1640" spans="1:10" hidden="1" x14ac:dyDescent="0.25">
      <c r="A1640" t="s">
        <v>132</v>
      </c>
      <c r="B1640" t="s">
        <v>88</v>
      </c>
      <c r="C1640" s="1">
        <v>45857</v>
      </c>
      <c r="D1640" t="s">
        <v>985</v>
      </c>
      <c r="E1640" t="s">
        <v>136</v>
      </c>
      <c r="F1640" t="s">
        <v>976</v>
      </c>
      <c r="G1640" s="14">
        <v>25095.69</v>
      </c>
      <c r="H1640">
        <v>1300</v>
      </c>
      <c r="I1640">
        <v>19.3</v>
      </c>
      <c r="J1640">
        <v>30365.78</v>
      </c>
    </row>
    <row r="1641" spans="1:10" hidden="1" x14ac:dyDescent="0.25">
      <c r="A1641" t="s">
        <v>515</v>
      </c>
      <c r="B1641" t="s">
        <v>88</v>
      </c>
      <c r="C1641" s="1">
        <v>45857</v>
      </c>
      <c r="D1641" t="s">
        <v>1454</v>
      </c>
      <c r="E1641" t="s">
        <v>184</v>
      </c>
      <c r="F1641" t="s">
        <v>15</v>
      </c>
      <c r="G1641" s="14">
        <v>11126</v>
      </c>
      <c r="H1641">
        <v>1300</v>
      </c>
      <c r="I1641">
        <v>8.56</v>
      </c>
      <c r="J1641">
        <v>13462.46</v>
      </c>
    </row>
    <row r="1642" spans="1:10" hidden="1" x14ac:dyDescent="0.25">
      <c r="A1642" t="s">
        <v>161</v>
      </c>
      <c r="B1642" t="s">
        <v>88</v>
      </c>
      <c r="C1642" s="1">
        <v>45856</v>
      </c>
      <c r="D1642" t="s">
        <v>1010</v>
      </c>
      <c r="E1642" t="s">
        <v>136</v>
      </c>
      <c r="F1642" t="s">
        <v>135</v>
      </c>
      <c r="G1642" s="14">
        <v>153161.70000000001</v>
      </c>
      <c r="H1642">
        <v>1300</v>
      </c>
      <c r="I1642">
        <v>117.82</v>
      </c>
      <c r="J1642">
        <v>185325.66</v>
      </c>
    </row>
    <row r="1643" spans="1:10" hidden="1" x14ac:dyDescent="0.25">
      <c r="A1643" t="s">
        <v>226</v>
      </c>
      <c r="B1643" t="s">
        <v>88</v>
      </c>
      <c r="C1643" s="1">
        <v>45856</v>
      </c>
      <c r="D1643" t="s">
        <v>1068</v>
      </c>
      <c r="E1643" t="s">
        <v>228</v>
      </c>
      <c r="F1643" t="s">
        <v>109</v>
      </c>
      <c r="G1643" s="14">
        <v>477704.39</v>
      </c>
      <c r="H1643">
        <v>1300</v>
      </c>
      <c r="I1643">
        <v>367.46</v>
      </c>
      <c r="J1643">
        <v>606684.57999999996</v>
      </c>
    </row>
    <row r="1644" spans="1:10" hidden="1" x14ac:dyDescent="0.25">
      <c r="A1644" t="s">
        <v>226</v>
      </c>
      <c r="B1644" t="s">
        <v>88</v>
      </c>
      <c r="C1644" s="1">
        <v>45856</v>
      </c>
      <c r="D1644" t="s">
        <v>1068</v>
      </c>
      <c r="E1644" t="s">
        <v>229</v>
      </c>
      <c r="F1644" t="s">
        <v>109</v>
      </c>
      <c r="G1644" s="14">
        <v>110028.27</v>
      </c>
      <c r="H1644">
        <v>1300</v>
      </c>
      <c r="I1644">
        <v>84.64</v>
      </c>
      <c r="J1644">
        <v>110028.27</v>
      </c>
    </row>
    <row r="1645" spans="1:10" hidden="1" x14ac:dyDescent="0.25">
      <c r="A1645" t="s">
        <v>226</v>
      </c>
      <c r="B1645" t="s">
        <v>88</v>
      </c>
      <c r="C1645" s="1">
        <v>45856</v>
      </c>
      <c r="D1645" t="s">
        <v>1069</v>
      </c>
      <c r="E1645" t="s">
        <v>228</v>
      </c>
      <c r="F1645" t="s">
        <v>109</v>
      </c>
      <c r="G1645" s="14">
        <v>488680.18</v>
      </c>
      <c r="H1645">
        <v>1300</v>
      </c>
      <c r="I1645">
        <v>375.91</v>
      </c>
      <c r="J1645">
        <v>620623.82999999996</v>
      </c>
    </row>
    <row r="1646" spans="1:10" hidden="1" x14ac:dyDescent="0.25">
      <c r="A1646" t="s">
        <v>226</v>
      </c>
      <c r="B1646" t="s">
        <v>88</v>
      </c>
      <c r="C1646" s="1">
        <v>45856</v>
      </c>
      <c r="D1646" t="s">
        <v>1069</v>
      </c>
      <c r="E1646" t="s">
        <v>229</v>
      </c>
      <c r="F1646" t="s">
        <v>109</v>
      </c>
      <c r="G1646" s="14">
        <v>109957.92</v>
      </c>
      <c r="H1646">
        <v>1300</v>
      </c>
      <c r="I1646">
        <v>84.58</v>
      </c>
      <c r="J1646">
        <v>109957.92</v>
      </c>
    </row>
    <row r="1647" spans="1:10" hidden="1" x14ac:dyDescent="0.25">
      <c r="A1647" t="s">
        <v>367</v>
      </c>
      <c r="B1647" t="s">
        <v>88</v>
      </c>
      <c r="C1647" s="1">
        <v>45856</v>
      </c>
      <c r="D1647" t="s">
        <v>1187</v>
      </c>
      <c r="E1647" t="s">
        <v>215</v>
      </c>
      <c r="F1647" t="s">
        <v>109</v>
      </c>
      <c r="G1647" s="14">
        <v>13825.08</v>
      </c>
      <c r="H1647">
        <v>1300</v>
      </c>
      <c r="I1647">
        <v>10.63</v>
      </c>
      <c r="J1647">
        <v>16728.349999999999</v>
      </c>
    </row>
    <row r="1648" spans="1:10" hidden="1" x14ac:dyDescent="0.25">
      <c r="A1648" t="s">
        <v>811</v>
      </c>
      <c r="B1648" t="s">
        <v>88</v>
      </c>
      <c r="C1648" s="1">
        <v>45856</v>
      </c>
      <c r="D1648" t="s">
        <v>1296</v>
      </c>
      <c r="E1648" t="s">
        <v>1297</v>
      </c>
      <c r="F1648" t="s">
        <v>109</v>
      </c>
      <c r="G1648" s="14">
        <v>61047</v>
      </c>
      <c r="H1648">
        <v>1300</v>
      </c>
      <c r="I1648">
        <v>46.96</v>
      </c>
      <c r="J1648">
        <v>67456.94</v>
      </c>
    </row>
    <row r="1649" spans="1:10" hidden="1" x14ac:dyDescent="0.25">
      <c r="A1649" t="s">
        <v>1392</v>
      </c>
      <c r="B1649" t="s">
        <v>88</v>
      </c>
      <c r="C1649" s="1">
        <v>45855</v>
      </c>
      <c r="D1649" t="s">
        <v>1393</v>
      </c>
      <c r="E1649" t="s">
        <v>329</v>
      </c>
      <c r="F1649" t="s">
        <v>135</v>
      </c>
      <c r="G1649" s="14">
        <v>78000</v>
      </c>
      <c r="H1649">
        <v>1290</v>
      </c>
      <c r="I1649">
        <v>60.47</v>
      </c>
      <c r="J1649">
        <v>78000</v>
      </c>
    </row>
    <row r="1650" spans="1:10" hidden="1" x14ac:dyDescent="0.25">
      <c r="A1650" t="s">
        <v>112</v>
      </c>
      <c r="B1650" t="s">
        <v>88</v>
      </c>
      <c r="C1650" s="1">
        <v>45854</v>
      </c>
      <c r="D1650" t="s">
        <v>960</v>
      </c>
      <c r="E1650" t="s">
        <v>114</v>
      </c>
      <c r="F1650" t="s">
        <v>117</v>
      </c>
      <c r="G1650" s="14">
        <v>1155.52</v>
      </c>
      <c r="H1650">
        <v>1275</v>
      </c>
      <c r="I1650">
        <v>0.91</v>
      </c>
      <c r="J1650">
        <v>1398.18</v>
      </c>
    </row>
    <row r="1651" spans="1:10" hidden="1" x14ac:dyDescent="0.25">
      <c r="A1651" t="s">
        <v>182</v>
      </c>
      <c r="B1651" t="s">
        <v>88</v>
      </c>
      <c r="C1651" s="1">
        <v>45854</v>
      </c>
      <c r="D1651" t="s">
        <v>1036</v>
      </c>
      <c r="E1651" t="s">
        <v>184</v>
      </c>
      <c r="F1651" t="s">
        <v>22</v>
      </c>
      <c r="G1651" s="14">
        <v>7255.5</v>
      </c>
      <c r="H1651">
        <v>1275</v>
      </c>
      <c r="I1651">
        <v>5.69</v>
      </c>
      <c r="J1651">
        <v>8779.16</v>
      </c>
    </row>
    <row r="1652" spans="1:10" hidden="1" x14ac:dyDescent="0.25">
      <c r="A1652" t="s">
        <v>216</v>
      </c>
      <c r="B1652" t="s">
        <v>88</v>
      </c>
      <c r="C1652" s="1">
        <v>45854</v>
      </c>
      <c r="D1652" t="s">
        <v>1053</v>
      </c>
      <c r="E1652" t="s">
        <v>653</v>
      </c>
      <c r="F1652" t="s">
        <v>117</v>
      </c>
      <c r="G1652" s="14">
        <v>43388.43</v>
      </c>
      <c r="H1652">
        <v>1275</v>
      </c>
      <c r="I1652">
        <v>34.03</v>
      </c>
      <c r="J1652">
        <v>52500</v>
      </c>
    </row>
    <row r="1653" spans="1:10" hidden="1" x14ac:dyDescent="0.25">
      <c r="A1653" t="s">
        <v>353</v>
      </c>
      <c r="B1653" t="s">
        <v>88</v>
      </c>
      <c r="C1653" s="1">
        <v>45854</v>
      </c>
      <c r="D1653" t="s">
        <v>1178</v>
      </c>
      <c r="E1653" t="s">
        <v>114</v>
      </c>
      <c r="F1653" t="s">
        <v>117</v>
      </c>
      <c r="G1653" s="14">
        <v>693.33</v>
      </c>
      <c r="H1653">
        <v>1275</v>
      </c>
      <c r="I1653">
        <v>0.54</v>
      </c>
      <c r="J1653">
        <v>838.93</v>
      </c>
    </row>
    <row r="1654" spans="1:10" hidden="1" x14ac:dyDescent="0.25">
      <c r="A1654" t="s">
        <v>400</v>
      </c>
      <c r="B1654" t="s">
        <v>88</v>
      </c>
      <c r="C1654" s="1">
        <v>45854</v>
      </c>
      <c r="D1654" t="s">
        <v>1224</v>
      </c>
      <c r="E1654" t="s">
        <v>136</v>
      </c>
      <c r="F1654" t="s">
        <v>135</v>
      </c>
      <c r="G1654" s="14">
        <v>11473.9</v>
      </c>
      <c r="H1654">
        <v>1275</v>
      </c>
      <c r="I1654">
        <v>9</v>
      </c>
      <c r="J1654">
        <v>13883.42</v>
      </c>
    </row>
    <row r="1655" spans="1:10" hidden="1" x14ac:dyDescent="0.25">
      <c r="A1655" t="s">
        <v>400</v>
      </c>
      <c r="B1655" t="s">
        <v>88</v>
      </c>
      <c r="C1655" s="1">
        <v>45854</v>
      </c>
      <c r="D1655" t="s">
        <v>1224</v>
      </c>
      <c r="E1655" t="s">
        <v>136</v>
      </c>
      <c r="F1655" t="s">
        <v>15</v>
      </c>
      <c r="G1655" s="14">
        <v>287723.49</v>
      </c>
      <c r="H1655">
        <v>1275</v>
      </c>
      <c r="I1655">
        <v>225.67</v>
      </c>
      <c r="J1655">
        <v>348145.42</v>
      </c>
    </row>
    <row r="1656" spans="1:10" hidden="1" x14ac:dyDescent="0.25">
      <c r="A1656" t="s">
        <v>426</v>
      </c>
      <c r="B1656" t="s">
        <v>88</v>
      </c>
      <c r="C1656" s="1">
        <v>45854</v>
      </c>
      <c r="D1656" t="s">
        <v>1272</v>
      </c>
      <c r="E1656" t="s">
        <v>134</v>
      </c>
      <c r="F1656" t="s">
        <v>21</v>
      </c>
      <c r="G1656" s="14">
        <v>27935.88</v>
      </c>
      <c r="H1656">
        <v>1275</v>
      </c>
      <c r="I1656">
        <v>21.91</v>
      </c>
      <c r="J1656">
        <v>30869.15</v>
      </c>
    </row>
    <row r="1657" spans="1:10" hidden="1" x14ac:dyDescent="0.25">
      <c r="A1657" t="s">
        <v>426</v>
      </c>
      <c r="B1657" t="s">
        <v>88</v>
      </c>
      <c r="C1657" s="1">
        <v>45854</v>
      </c>
      <c r="D1657" t="s">
        <v>1272</v>
      </c>
      <c r="E1657" t="s">
        <v>136</v>
      </c>
      <c r="F1657" t="s">
        <v>15</v>
      </c>
      <c r="G1657" s="14">
        <v>8041.13</v>
      </c>
      <c r="H1657">
        <v>1275</v>
      </c>
      <c r="I1657">
        <v>6.31</v>
      </c>
      <c r="J1657">
        <v>9729.77</v>
      </c>
    </row>
    <row r="1658" spans="1:10" hidden="1" x14ac:dyDescent="0.25">
      <c r="A1658" t="s">
        <v>443</v>
      </c>
      <c r="B1658" t="s">
        <v>88</v>
      </c>
      <c r="C1658" s="1">
        <v>45854</v>
      </c>
      <c r="D1658" t="s">
        <v>1312</v>
      </c>
      <c r="E1658" t="s">
        <v>90</v>
      </c>
      <c r="F1658" t="s">
        <v>117</v>
      </c>
      <c r="G1658" s="14">
        <v>9834.7099999999991</v>
      </c>
      <c r="H1658">
        <v>1275</v>
      </c>
      <c r="I1658">
        <v>7.71</v>
      </c>
      <c r="J1658">
        <v>11900.01</v>
      </c>
    </row>
    <row r="1659" spans="1:10" hidden="1" x14ac:dyDescent="0.25">
      <c r="A1659" t="s">
        <v>1413</v>
      </c>
      <c r="B1659" t="s">
        <v>96</v>
      </c>
      <c r="C1659" s="1">
        <v>45854</v>
      </c>
      <c r="D1659" t="s">
        <v>1414</v>
      </c>
      <c r="E1659" t="s">
        <v>1412</v>
      </c>
      <c r="G1659" s="14">
        <v>120660</v>
      </c>
      <c r="H1659">
        <v>1275</v>
      </c>
      <c r="I1659">
        <v>94.64</v>
      </c>
      <c r="J1659">
        <v>120660</v>
      </c>
    </row>
    <row r="1660" spans="1:10" hidden="1" x14ac:dyDescent="0.25">
      <c r="A1660" t="s">
        <v>125</v>
      </c>
      <c r="B1660" t="s">
        <v>88</v>
      </c>
      <c r="C1660" s="1">
        <v>45853</v>
      </c>
      <c r="D1660" t="s">
        <v>964</v>
      </c>
      <c r="E1660" t="s">
        <v>114</v>
      </c>
      <c r="F1660" t="s">
        <v>117</v>
      </c>
      <c r="G1660" s="14">
        <v>3088.3</v>
      </c>
      <c r="H1660">
        <v>1280</v>
      </c>
      <c r="I1660">
        <v>2.41</v>
      </c>
      <c r="J1660">
        <v>3736.84</v>
      </c>
    </row>
    <row r="1661" spans="1:10" hidden="1" x14ac:dyDescent="0.25">
      <c r="A1661" t="s">
        <v>125</v>
      </c>
      <c r="B1661" t="s">
        <v>88</v>
      </c>
      <c r="C1661" s="1">
        <v>45853</v>
      </c>
      <c r="D1661" t="s">
        <v>964</v>
      </c>
      <c r="E1661" t="s">
        <v>127</v>
      </c>
      <c r="F1661" t="s">
        <v>117</v>
      </c>
      <c r="G1661" s="14">
        <v>308.83</v>
      </c>
      <c r="H1661">
        <v>1280</v>
      </c>
      <c r="I1661">
        <v>0.24</v>
      </c>
      <c r="J1661">
        <v>308.83</v>
      </c>
    </row>
    <row r="1662" spans="1:10" hidden="1" x14ac:dyDescent="0.25">
      <c r="A1662" t="s">
        <v>1210</v>
      </c>
      <c r="B1662" t="s">
        <v>88</v>
      </c>
      <c r="C1662" s="1">
        <v>45853</v>
      </c>
      <c r="D1662" t="s">
        <v>1211</v>
      </c>
      <c r="E1662" t="s">
        <v>205</v>
      </c>
      <c r="F1662" t="s">
        <v>1212</v>
      </c>
      <c r="G1662" s="14">
        <v>274751.65999999997</v>
      </c>
      <c r="H1662">
        <v>1280</v>
      </c>
      <c r="I1662">
        <v>214.65</v>
      </c>
      <c r="J1662">
        <v>332449.51</v>
      </c>
    </row>
    <row r="1663" spans="1:10" hidden="1" x14ac:dyDescent="0.25">
      <c r="A1663" t="s">
        <v>405</v>
      </c>
      <c r="B1663" t="s">
        <v>88</v>
      </c>
      <c r="C1663" s="1">
        <v>45853</v>
      </c>
      <c r="D1663" t="s">
        <v>1236</v>
      </c>
      <c r="E1663" t="s">
        <v>653</v>
      </c>
      <c r="F1663" t="s">
        <v>117</v>
      </c>
      <c r="G1663" s="14">
        <v>15994.61</v>
      </c>
      <c r="H1663">
        <v>1280</v>
      </c>
      <c r="I1663">
        <v>12.5</v>
      </c>
      <c r="J1663">
        <v>19353.48</v>
      </c>
    </row>
    <row r="1664" spans="1:10" hidden="1" x14ac:dyDescent="0.25">
      <c r="A1664" t="s">
        <v>515</v>
      </c>
      <c r="B1664" t="s">
        <v>88</v>
      </c>
      <c r="C1664" s="1">
        <v>45853</v>
      </c>
      <c r="D1664" t="s">
        <v>1453</v>
      </c>
      <c r="E1664" t="s">
        <v>136</v>
      </c>
      <c r="F1664" t="s">
        <v>15</v>
      </c>
      <c r="G1664" s="14">
        <v>13387</v>
      </c>
      <c r="H1664">
        <v>1280</v>
      </c>
      <c r="I1664">
        <v>10.46</v>
      </c>
      <c r="J1664">
        <v>16198.27</v>
      </c>
    </row>
    <row r="1665" spans="1:10" hidden="1" x14ac:dyDescent="0.25">
      <c r="A1665" t="s">
        <v>533</v>
      </c>
      <c r="B1665" t="s">
        <v>88</v>
      </c>
      <c r="C1665" s="1">
        <v>45853</v>
      </c>
      <c r="D1665" t="s">
        <v>1483</v>
      </c>
      <c r="E1665" t="s">
        <v>147</v>
      </c>
      <c r="F1665" t="s">
        <v>91</v>
      </c>
      <c r="G1665" s="14">
        <v>12762.65</v>
      </c>
      <c r="H1665">
        <v>1280</v>
      </c>
      <c r="I1665">
        <v>9.9700000000000006</v>
      </c>
      <c r="J1665">
        <v>12762.65</v>
      </c>
    </row>
    <row r="1666" spans="1:10" hidden="1" x14ac:dyDescent="0.25">
      <c r="A1666" t="s">
        <v>533</v>
      </c>
      <c r="B1666" t="s">
        <v>88</v>
      </c>
      <c r="C1666" s="1">
        <v>45853</v>
      </c>
      <c r="D1666" t="s">
        <v>1483</v>
      </c>
      <c r="E1666" t="s">
        <v>90</v>
      </c>
      <c r="F1666" t="s">
        <v>91</v>
      </c>
      <c r="G1666" s="14">
        <v>79538.37</v>
      </c>
      <c r="H1666">
        <v>1280</v>
      </c>
      <c r="I1666">
        <v>62.14</v>
      </c>
      <c r="J1666">
        <v>96241.44</v>
      </c>
    </row>
    <row r="1667" spans="1:10" hidden="1" x14ac:dyDescent="0.25">
      <c r="A1667" t="s">
        <v>533</v>
      </c>
      <c r="B1667" t="s">
        <v>88</v>
      </c>
      <c r="C1667" s="1">
        <v>45853</v>
      </c>
      <c r="D1667" t="s">
        <v>1484</v>
      </c>
      <c r="E1667" t="s">
        <v>90</v>
      </c>
      <c r="F1667" t="s">
        <v>117</v>
      </c>
      <c r="G1667" s="14">
        <v>5206.6099999999997</v>
      </c>
      <c r="H1667">
        <v>1280</v>
      </c>
      <c r="I1667">
        <v>4.07</v>
      </c>
      <c r="J1667">
        <v>6300.01</v>
      </c>
    </row>
    <row r="1668" spans="1:10" hidden="1" x14ac:dyDescent="0.25">
      <c r="A1668" t="s">
        <v>132</v>
      </c>
      <c r="B1668" t="s">
        <v>88</v>
      </c>
      <c r="C1668" s="1">
        <v>45852</v>
      </c>
      <c r="D1668" t="s">
        <v>981</v>
      </c>
      <c r="E1668" t="s">
        <v>136</v>
      </c>
      <c r="F1668" t="s">
        <v>976</v>
      </c>
      <c r="G1668" s="14">
        <v>78291.77</v>
      </c>
      <c r="H1668">
        <v>1295</v>
      </c>
      <c r="I1668">
        <v>60.46</v>
      </c>
      <c r="J1668">
        <v>94733.04</v>
      </c>
    </row>
    <row r="1669" spans="1:10" hidden="1" x14ac:dyDescent="0.25">
      <c r="A1669" t="s">
        <v>182</v>
      </c>
      <c r="B1669" t="s">
        <v>88</v>
      </c>
      <c r="C1669" s="1">
        <v>45852</v>
      </c>
      <c r="D1669" t="s">
        <v>1034</v>
      </c>
      <c r="E1669" t="s">
        <v>184</v>
      </c>
      <c r="F1669" t="s">
        <v>21</v>
      </c>
      <c r="G1669" s="14">
        <v>14370.53</v>
      </c>
      <c r="H1669">
        <v>1295</v>
      </c>
      <c r="I1669">
        <v>11.1</v>
      </c>
      <c r="J1669">
        <v>17388.34</v>
      </c>
    </row>
    <row r="1670" spans="1:10" hidden="1" x14ac:dyDescent="0.25">
      <c r="A1670" t="s">
        <v>182</v>
      </c>
      <c r="B1670" t="s">
        <v>88</v>
      </c>
      <c r="C1670" s="1">
        <v>45852</v>
      </c>
      <c r="D1670" t="s">
        <v>1035</v>
      </c>
      <c r="E1670" t="s">
        <v>184</v>
      </c>
      <c r="F1670" t="s">
        <v>21</v>
      </c>
      <c r="G1670" s="14">
        <v>14966.16</v>
      </c>
      <c r="H1670">
        <v>1295</v>
      </c>
      <c r="I1670">
        <v>11.56</v>
      </c>
      <c r="J1670">
        <v>18109.05</v>
      </c>
    </row>
    <row r="1671" spans="1:10" hidden="1" x14ac:dyDescent="0.25">
      <c r="A1671" t="s">
        <v>246</v>
      </c>
      <c r="B1671" t="s">
        <v>88</v>
      </c>
      <c r="C1671" s="1">
        <v>45852</v>
      </c>
      <c r="D1671" t="s">
        <v>1077</v>
      </c>
      <c r="E1671" t="s">
        <v>114</v>
      </c>
      <c r="F1671" t="s">
        <v>117</v>
      </c>
      <c r="G1671" s="14">
        <v>28079.52</v>
      </c>
      <c r="H1671">
        <v>1295</v>
      </c>
      <c r="I1671">
        <v>21.68</v>
      </c>
      <c r="J1671">
        <v>33976.22</v>
      </c>
    </row>
    <row r="1672" spans="1:10" hidden="1" x14ac:dyDescent="0.25">
      <c r="A1672" t="s">
        <v>324</v>
      </c>
      <c r="B1672" t="s">
        <v>88</v>
      </c>
      <c r="C1672" s="1">
        <v>45852</v>
      </c>
      <c r="D1672" t="s">
        <v>1156</v>
      </c>
      <c r="E1672" t="s">
        <v>102</v>
      </c>
      <c r="F1672" t="s">
        <v>15</v>
      </c>
      <c r="G1672" s="14">
        <v>30000</v>
      </c>
      <c r="H1672">
        <v>1295</v>
      </c>
      <c r="I1672">
        <v>23.17</v>
      </c>
      <c r="J1672">
        <v>30000</v>
      </c>
    </row>
    <row r="1673" spans="1:10" hidden="1" x14ac:dyDescent="0.25">
      <c r="A1673" t="s">
        <v>453</v>
      </c>
      <c r="B1673" t="s">
        <v>88</v>
      </c>
      <c r="C1673" s="1">
        <v>45852</v>
      </c>
      <c r="D1673" t="s">
        <v>1326</v>
      </c>
      <c r="E1673" t="s">
        <v>136</v>
      </c>
      <c r="F1673" t="s">
        <v>135</v>
      </c>
      <c r="G1673" s="14">
        <v>128192.5</v>
      </c>
      <c r="H1673">
        <v>1295</v>
      </c>
      <c r="I1673">
        <v>98.99</v>
      </c>
      <c r="J1673">
        <v>155112.93</v>
      </c>
    </row>
    <row r="1674" spans="1:10" hidden="1" x14ac:dyDescent="0.25">
      <c r="A1674" t="s">
        <v>504</v>
      </c>
      <c r="B1674" t="s">
        <v>88</v>
      </c>
      <c r="C1674" s="1">
        <v>45852</v>
      </c>
      <c r="D1674" t="s">
        <v>1424</v>
      </c>
      <c r="E1674" t="s">
        <v>506</v>
      </c>
      <c r="F1674" t="s">
        <v>109</v>
      </c>
      <c r="G1674" s="14">
        <v>294941.48</v>
      </c>
      <c r="H1674">
        <v>1295</v>
      </c>
      <c r="I1674">
        <v>227.75</v>
      </c>
      <c r="J1674">
        <v>374575.68</v>
      </c>
    </row>
    <row r="1675" spans="1:10" hidden="1" x14ac:dyDescent="0.25">
      <c r="A1675" t="s">
        <v>504</v>
      </c>
      <c r="B1675" t="s">
        <v>88</v>
      </c>
      <c r="C1675" s="1">
        <v>45852</v>
      </c>
      <c r="D1675" t="s">
        <v>1424</v>
      </c>
      <c r="E1675" t="s">
        <v>507</v>
      </c>
      <c r="F1675" t="s">
        <v>109</v>
      </c>
      <c r="G1675" s="14">
        <v>15523.07</v>
      </c>
      <c r="H1675">
        <v>1295</v>
      </c>
      <c r="I1675">
        <v>11.99</v>
      </c>
      <c r="J1675">
        <v>15523.07</v>
      </c>
    </row>
    <row r="1676" spans="1:10" hidden="1" x14ac:dyDescent="0.25">
      <c r="A1676" t="s">
        <v>512</v>
      </c>
      <c r="B1676" t="s">
        <v>88</v>
      </c>
      <c r="C1676" s="1">
        <v>45852</v>
      </c>
      <c r="D1676" t="s">
        <v>1446</v>
      </c>
      <c r="E1676" t="s">
        <v>136</v>
      </c>
      <c r="F1676" t="s">
        <v>22</v>
      </c>
      <c r="G1676" s="14">
        <v>36592.5</v>
      </c>
      <c r="H1676">
        <v>1295</v>
      </c>
      <c r="I1676">
        <v>28.26</v>
      </c>
      <c r="J1676">
        <v>44276.93</v>
      </c>
    </row>
    <row r="1677" spans="1:10" hidden="1" x14ac:dyDescent="0.25">
      <c r="A1677" t="s">
        <v>132</v>
      </c>
      <c r="B1677" t="s">
        <v>88</v>
      </c>
      <c r="C1677" s="1">
        <v>45849</v>
      </c>
      <c r="D1677" t="s">
        <v>978</v>
      </c>
      <c r="E1677" t="s">
        <v>136</v>
      </c>
      <c r="F1677" t="s">
        <v>135</v>
      </c>
      <c r="G1677" s="14">
        <v>11425.3</v>
      </c>
      <c r="H1677">
        <v>1275</v>
      </c>
      <c r="I1677">
        <v>8.9600000000000009</v>
      </c>
      <c r="J1677">
        <v>13824.61</v>
      </c>
    </row>
    <row r="1678" spans="1:10" hidden="1" x14ac:dyDescent="0.25">
      <c r="A1678" t="s">
        <v>991</v>
      </c>
      <c r="B1678" t="s">
        <v>145</v>
      </c>
      <c r="C1678" s="1">
        <v>45849</v>
      </c>
      <c r="D1678" t="s">
        <v>992</v>
      </c>
      <c r="E1678" t="s">
        <v>148</v>
      </c>
      <c r="G1678" s="14">
        <v>1165159.75</v>
      </c>
      <c r="H1678">
        <v>1275</v>
      </c>
      <c r="I1678">
        <v>913.85</v>
      </c>
      <c r="J1678">
        <v>1287501.52</v>
      </c>
    </row>
    <row r="1679" spans="1:10" hidden="1" x14ac:dyDescent="0.25">
      <c r="A1679" t="s">
        <v>281</v>
      </c>
      <c r="B1679" t="s">
        <v>88</v>
      </c>
      <c r="C1679" s="1">
        <v>45849</v>
      </c>
      <c r="D1679" t="s">
        <v>1117</v>
      </c>
      <c r="E1679" t="s">
        <v>283</v>
      </c>
      <c r="F1679" t="s">
        <v>109</v>
      </c>
      <c r="G1679" s="14">
        <v>68710.789999999994</v>
      </c>
      <c r="H1679">
        <v>1275</v>
      </c>
      <c r="I1679">
        <v>53.89</v>
      </c>
      <c r="J1679">
        <v>83140.06</v>
      </c>
    </row>
    <row r="1680" spans="1:10" hidden="1" x14ac:dyDescent="0.25">
      <c r="A1680" t="s">
        <v>316</v>
      </c>
      <c r="B1680" t="s">
        <v>88</v>
      </c>
      <c r="C1680" s="1">
        <v>45848</v>
      </c>
      <c r="D1680" t="s">
        <v>1140</v>
      </c>
      <c r="E1680" t="s">
        <v>136</v>
      </c>
      <c r="F1680" t="s">
        <v>21</v>
      </c>
      <c r="G1680" s="14">
        <v>52932.79</v>
      </c>
      <c r="H1680">
        <v>1275</v>
      </c>
      <c r="I1680">
        <v>41.52</v>
      </c>
      <c r="J1680">
        <v>64048.68</v>
      </c>
    </row>
    <row r="1681" spans="1:10" hidden="1" x14ac:dyDescent="0.25">
      <c r="A1681" t="s">
        <v>324</v>
      </c>
      <c r="B1681" t="s">
        <v>88</v>
      </c>
      <c r="C1681" s="1">
        <v>45848</v>
      </c>
      <c r="D1681" t="s">
        <v>1155</v>
      </c>
      <c r="E1681" t="s">
        <v>136</v>
      </c>
      <c r="F1681" t="s">
        <v>15</v>
      </c>
      <c r="G1681" s="14">
        <v>1286347.5</v>
      </c>
      <c r="H1681">
        <v>1275</v>
      </c>
      <c r="I1681">
        <v>1008.9</v>
      </c>
      <c r="J1681">
        <v>1286347.5</v>
      </c>
    </row>
    <row r="1682" spans="1:10" hidden="1" x14ac:dyDescent="0.25">
      <c r="A1682" t="s">
        <v>426</v>
      </c>
      <c r="B1682" t="s">
        <v>88</v>
      </c>
      <c r="C1682" s="1">
        <v>45848</v>
      </c>
      <c r="D1682" t="s">
        <v>1271</v>
      </c>
      <c r="E1682" t="s">
        <v>136</v>
      </c>
      <c r="F1682" t="s">
        <v>21</v>
      </c>
      <c r="G1682" s="14">
        <v>341604.27</v>
      </c>
      <c r="H1682">
        <v>1275</v>
      </c>
      <c r="I1682">
        <v>267.92</v>
      </c>
      <c r="J1682">
        <v>413341.17</v>
      </c>
    </row>
    <row r="1683" spans="1:10" hidden="1" x14ac:dyDescent="0.25">
      <c r="A1683" t="s">
        <v>455</v>
      </c>
      <c r="B1683" t="s">
        <v>88</v>
      </c>
      <c r="C1683" s="1">
        <v>45848</v>
      </c>
      <c r="D1683" t="s">
        <v>1328</v>
      </c>
      <c r="E1683" t="s">
        <v>136</v>
      </c>
      <c r="F1683" t="s">
        <v>21</v>
      </c>
      <c r="G1683" s="14">
        <v>138022.21</v>
      </c>
      <c r="H1683">
        <v>1275</v>
      </c>
      <c r="I1683">
        <v>108.25</v>
      </c>
      <c r="J1683">
        <v>167006.87</v>
      </c>
    </row>
    <row r="1684" spans="1:10" hidden="1" x14ac:dyDescent="0.25">
      <c r="A1684" t="s">
        <v>552</v>
      </c>
      <c r="B1684" t="s">
        <v>88</v>
      </c>
      <c r="C1684" s="1">
        <v>45848</v>
      </c>
      <c r="D1684" t="s">
        <v>1498</v>
      </c>
      <c r="E1684" t="s">
        <v>136</v>
      </c>
      <c r="F1684" t="s">
        <v>1045</v>
      </c>
      <c r="G1684" s="14">
        <v>4063386.75</v>
      </c>
      <c r="H1684">
        <v>1275</v>
      </c>
      <c r="I1684">
        <v>3186.97</v>
      </c>
      <c r="J1684">
        <v>4916697.97</v>
      </c>
    </row>
    <row r="1685" spans="1:10" hidden="1" x14ac:dyDescent="0.25">
      <c r="A1685" t="s">
        <v>182</v>
      </c>
      <c r="B1685" t="s">
        <v>88</v>
      </c>
      <c r="C1685" s="1">
        <v>45846</v>
      </c>
      <c r="D1685" t="s">
        <v>1030</v>
      </c>
      <c r="E1685" t="s">
        <v>184</v>
      </c>
      <c r="F1685" t="s">
        <v>1031</v>
      </c>
      <c r="G1685" s="14">
        <v>96600</v>
      </c>
      <c r="H1685">
        <v>1275</v>
      </c>
      <c r="I1685">
        <v>75.760000000000005</v>
      </c>
      <c r="J1685">
        <v>116886</v>
      </c>
    </row>
    <row r="1686" spans="1:10" hidden="1" x14ac:dyDescent="0.25">
      <c r="A1686" t="s">
        <v>182</v>
      </c>
      <c r="B1686" t="s">
        <v>88</v>
      </c>
      <c r="C1686" s="1">
        <v>45846</v>
      </c>
      <c r="D1686" t="s">
        <v>1030</v>
      </c>
      <c r="E1686" t="s">
        <v>184</v>
      </c>
      <c r="F1686" t="s">
        <v>1032</v>
      </c>
      <c r="G1686" s="14">
        <v>64400</v>
      </c>
      <c r="H1686">
        <v>1275</v>
      </c>
      <c r="I1686">
        <v>50.51</v>
      </c>
      <c r="J1686">
        <v>77924</v>
      </c>
    </row>
    <row r="1687" spans="1:10" hidden="1" x14ac:dyDescent="0.25">
      <c r="A1687" t="s">
        <v>246</v>
      </c>
      <c r="B1687" t="s">
        <v>88</v>
      </c>
      <c r="C1687" s="1">
        <v>45846</v>
      </c>
      <c r="D1687" t="s">
        <v>1074</v>
      </c>
      <c r="E1687" t="s">
        <v>114</v>
      </c>
      <c r="F1687" t="s">
        <v>117</v>
      </c>
      <c r="G1687" s="14">
        <v>7695.87</v>
      </c>
      <c r="H1687">
        <v>1275</v>
      </c>
      <c r="I1687">
        <v>6.04</v>
      </c>
      <c r="J1687">
        <v>9312</v>
      </c>
    </row>
    <row r="1688" spans="1:10" hidden="1" x14ac:dyDescent="0.25">
      <c r="A1688" t="s">
        <v>132</v>
      </c>
      <c r="B1688" t="s">
        <v>88</v>
      </c>
      <c r="C1688" s="1">
        <v>45845</v>
      </c>
      <c r="D1688" t="s">
        <v>977</v>
      </c>
      <c r="E1688" t="s">
        <v>136</v>
      </c>
      <c r="F1688" t="s">
        <v>135</v>
      </c>
      <c r="G1688" s="14">
        <v>50139.38</v>
      </c>
      <c r="H1688">
        <v>1280</v>
      </c>
      <c r="I1688">
        <v>39.17</v>
      </c>
      <c r="J1688">
        <v>60668.65</v>
      </c>
    </row>
    <row r="1689" spans="1:10" hidden="1" x14ac:dyDescent="0.25">
      <c r="A1689" t="s">
        <v>1096</v>
      </c>
      <c r="B1689" t="s">
        <v>88</v>
      </c>
      <c r="C1689" s="1">
        <v>45845</v>
      </c>
      <c r="D1689" t="s">
        <v>1097</v>
      </c>
      <c r="E1689" t="s">
        <v>205</v>
      </c>
      <c r="G1689" s="14">
        <v>545454.52</v>
      </c>
      <c r="H1689">
        <v>1280</v>
      </c>
      <c r="I1689">
        <v>426.14</v>
      </c>
      <c r="J1689">
        <v>659999.97</v>
      </c>
    </row>
    <row r="1690" spans="1:10" hidden="1" x14ac:dyDescent="0.25">
      <c r="A1690" t="s">
        <v>400</v>
      </c>
      <c r="B1690" t="s">
        <v>88</v>
      </c>
      <c r="C1690" s="1">
        <v>45845</v>
      </c>
      <c r="D1690" t="s">
        <v>1217</v>
      </c>
      <c r="E1690" t="s">
        <v>184</v>
      </c>
      <c r="F1690" t="s">
        <v>135</v>
      </c>
      <c r="G1690" s="14">
        <v>7595</v>
      </c>
      <c r="H1690">
        <v>1280</v>
      </c>
      <c r="I1690">
        <v>5.93</v>
      </c>
      <c r="J1690">
        <v>9189.9500000000007</v>
      </c>
    </row>
    <row r="1691" spans="1:10" hidden="1" x14ac:dyDescent="0.25">
      <c r="A1691" t="s">
        <v>1390</v>
      </c>
      <c r="B1691" t="s">
        <v>88</v>
      </c>
      <c r="C1691" s="1">
        <v>45845</v>
      </c>
      <c r="D1691" t="s">
        <v>1391</v>
      </c>
      <c r="E1691" t="s">
        <v>138</v>
      </c>
      <c r="F1691" t="s">
        <v>139</v>
      </c>
      <c r="G1691" s="14">
        <v>170685.95</v>
      </c>
      <c r="H1691">
        <v>1280</v>
      </c>
      <c r="I1691">
        <v>133.35</v>
      </c>
      <c r="J1691">
        <v>206530</v>
      </c>
    </row>
    <row r="1692" spans="1:10" hidden="1" x14ac:dyDescent="0.25">
      <c r="A1692" t="s">
        <v>501</v>
      </c>
      <c r="B1692" t="s">
        <v>88</v>
      </c>
      <c r="C1692" s="1">
        <v>45845</v>
      </c>
      <c r="D1692" t="s">
        <v>1408</v>
      </c>
      <c r="E1692" t="s">
        <v>205</v>
      </c>
      <c r="F1692" t="s">
        <v>109</v>
      </c>
      <c r="G1692" s="14">
        <v>205931.32</v>
      </c>
      <c r="H1692">
        <v>1280</v>
      </c>
      <c r="I1692">
        <v>160.88</v>
      </c>
      <c r="J1692">
        <v>249176.9</v>
      </c>
    </row>
    <row r="1693" spans="1:10" hidden="1" x14ac:dyDescent="0.25">
      <c r="A1693" t="s">
        <v>871</v>
      </c>
      <c r="B1693" t="s">
        <v>88</v>
      </c>
      <c r="C1693" s="1">
        <v>45845</v>
      </c>
      <c r="D1693" t="s">
        <v>1417</v>
      </c>
      <c r="E1693" t="s">
        <v>136</v>
      </c>
      <c r="F1693" t="s">
        <v>15</v>
      </c>
      <c r="G1693" s="14">
        <v>6511686.4000000004</v>
      </c>
      <c r="H1693">
        <v>1280</v>
      </c>
      <c r="I1693">
        <v>5087.26</v>
      </c>
      <c r="J1693">
        <v>7879140.54</v>
      </c>
    </row>
    <row r="1694" spans="1:10" hidden="1" x14ac:dyDescent="0.25">
      <c r="A1694" t="s">
        <v>175</v>
      </c>
      <c r="B1694" t="s">
        <v>88</v>
      </c>
      <c r="C1694" s="1">
        <v>45842</v>
      </c>
      <c r="D1694" t="s">
        <v>1021</v>
      </c>
      <c r="E1694" t="s">
        <v>177</v>
      </c>
      <c r="F1694" t="s">
        <v>109</v>
      </c>
      <c r="G1694" s="14">
        <v>53896.18</v>
      </c>
      <c r="H1694">
        <v>1260</v>
      </c>
      <c r="I1694">
        <v>42.77</v>
      </c>
      <c r="J1694">
        <v>68448.149999999994</v>
      </c>
    </row>
    <row r="1695" spans="1:10" hidden="1" x14ac:dyDescent="0.25">
      <c r="A1695" t="s">
        <v>175</v>
      </c>
      <c r="B1695" t="s">
        <v>88</v>
      </c>
      <c r="C1695" s="1">
        <v>45842</v>
      </c>
      <c r="D1695" t="s">
        <v>1021</v>
      </c>
      <c r="E1695" t="s">
        <v>180</v>
      </c>
      <c r="F1695" t="s">
        <v>109</v>
      </c>
      <c r="G1695" s="14">
        <v>1614.23</v>
      </c>
      <c r="H1695">
        <v>1260</v>
      </c>
      <c r="I1695">
        <v>1.28</v>
      </c>
      <c r="J1695">
        <v>1614.23</v>
      </c>
    </row>
    <row r="1696" spans="1:10" hidden="1" x14ac:dyDescent="0.25">
      <c r="A1696" t="s">
        <v>182</v>
      </c>
      <c r="B1696" t="s">
        <v>88</v>
      </c>
      <c r="C1696" s="1">
        <v>45842</v>
      </c>
      <c r="D1696" t="s">
        <v>1028</v>
      </c>
      <c r="E1696" t="s">
        <v>184</v>
      </c>
      <c r="F1696" t="s">
        <v>20</v>
      </c>
      <c r="G1696" s="14">
        <v>8000</v>
      </c>
      <c r="H1696">
        <v>1260</v>
      </c>
      <c r="I1696">
        <v>6.35</v>
      </c>
      <c r="J1696">
        <v>9680</v>
      </c>
    </row>
    <row r="1697" spans="1:10" hidden="1" x14ac:dyDescent="0.25">
      <c r="A1697" t="s">
        <v>226</v>
      </c>
      <c r="B1697" t="s">
        <v>88</v>
      </c>
      <c r="C1697" s="1">
        <v>45842</v>
      </c>
      <c r="D1697" t="s">
        <v>1060</v>
      </c>
      <c r="E1697" t="s">
        <v>232</v>
      </c>
      <c r="F1697" t="s">
        <v>109</v>
      </c>
      <c r="G1697" s="14">
        <v>4481.96</v>
      </c>
      <c r="H1697">
        <v>1260</v>
      </c>
      <c r="I1697">
        <v>3.56</v>
      </c>
      <c r="J1697">
        <v>5692.09</v>
      </c>
    </row>
    <row r="1698" spans="1:10" hidden="1" x14ac:dyDescent="0.25">
      <c r="A1698" t="s">
        <v>226</v>
      </c>
      <c r="B1698" t="s">
        <v>88</v>
      </c>
      <c r="C1698" s="1">
        <v>45842</v>
      </c>
      <c r="D1698" t="s">
        <v>1060</v>
      </c>
      <c r="E1698" t="s">
        <v>233</v>
      </c>
      <c r="F1698" t="s">
        <v>109</v>
      </c>
      <c r="G1698" s="14">
        <v>546.77</v>
      </c>
      <c r="H1698">
        <v>1260</v>
      </c>
      <c r="I1698">
        <v>0.43</v>
      </c>
      <c r="J1698">
        <v>546.77</v>
      </c>
    </row>
    <row r="1699" spans="1:10" hidden="1" x14ac:dyDescent="0.25">
      <c r="A1699" t="s">
        <v>226</v>
      </c>
      <c r="B1699" t="s">
        <v>88</v>
      </c>
      <c r="C1699" s="1">
        <v>45842</v>
      </c>
      <c r="D1699" t="s">
        <v>1061</v>
      </c>
      <c r="E1699" t="s">
        <v>232</v>
      </c>
      <c r="F1699" t="s">
        <v>109</v>
      </c>
      <c r="G1699" s="14">
        <v>4481.96</v>
      </c>
      <c r="H1699">
        <v>1260</v>
      </c>
      <c r="I1699">
        <v>3.56</v>
      </c>
      <c r="J1699">
        <v>5692.09</v>
      </c>
    </row>
    <row r="1700" spans="1:10" hidden="1" x14ac:dyDescent="0.25">
      <c r="A1700" t="s">
        <v>226</v>
      </c>
      <c r="B1700" t="s">
        <v>88</v>
      </c>
      <c r="C1700" s="1">
        <v>45842</v>
      </c>
      <c r="D1700" t="s">
        <v>1061</v>
      </c>
      <c r="E1700" t="s">
        <v>233</v>
      </c>
      <c r="F1700" t="s">
        <v>109</v>
      </c>
      <c r="G1700" s="14">
        <v>546.75</v>
      </c>
      <c r="H1700">
        <v>1260</v>
      </c>
      <c r="I1700">
        <v>0.43</v>
      </c>
      <c r="J1700">
        <v>546.75</v>
      </c>
    </row>
    <row r="1701" spans="1:10" hidden="1" x14ac:dyDescent="0.25">
      <c r="A1701" t="s">
        <v>289</v>
      </c>
      <c r="B1701" t="s">
        <v>88</v>
      </c>
      <c r="C1701" s="1">
        <v>45842</v>
      </c>
      <c r="D1701" t="s">
        <v>1122</v>
      </c>
      <c r="E1701" t="s">
        <v>138</v>
      </c>
      <c r="F1701" t="s">
        <v>139</v>
      </c>
      <c r="G1701" s="14">
        <v>152485</v>
      </c>
      <c r="H1701">
        <v>1260</v>
      </c>
      <c r="I1701">
        <v>121.02</v>
      </c>
      <c r="J1701">
        <v>184506.85</v>
      </c>
    </row>
    <row r="1702" spans="1:10" hidden="1" x14ac:dyDescent="0.25">
      <c r="A1702" t="s">
        <v>313</v>
      </c>
      <c r="B1702" t="s">
        <v>88</v>
      </c>
      <c r="C1702" s="1">
        <v>45842</v>
      </c>
      <c r="D1702" t="s">
        <v>1136</v>
      </c>
      <c r="E1702" t="s">
        <v>90</v>
      </c>
      <c r="F1702" t="s">
        <v>91</v>
      </c>
      <c r="G1702" s="14">
        <v>15491.54</v>
      </c>
      <c r="H1702">
        <v>1260</v>
      </c>
      <c r="I1702">
        <v>12.29</v>
      </c>
      <c r="J1702">
        <v>18744.77</v>
      </c>
    </row>
    <row r="1703" spans="1:10" hidden="1" x14ac:dyDescent="0.25">
      <c r="A1703" t="s">
        <v>313</v>
      </c>
      <c r="B1703" t="s">
        <v>88</v>
      </c>
      <c r="C1703" s="1">
        <v>45842</v>
      </c>
      <c r="D1703" t="s">
        <v>1136</v>
      </c>
      <c r="E1703" t="s">
        <v>92</v>
      </c>
      <c r="F1703" t="s">
        <v>91</v>
      </c>
      <c r="G1703" s="14">
        <v>1255.31</v>
      </c>
      <c r="H1703">
        <v>1260</v>
      </c>
      <c r="I1703">
        <v>1</v>
      </c>
      <c r="J1703">
        <v>1255.31</v>
      </c>
    </row>
    <row r="1704" spans="1:10" hidden="1" x14ac:dyDescent="0.25">
      <c r="A1704" t="s">
        <v>1153</v>
      </c>
      <c r="B1704" t="s">
        <v>88</v>
      </c>
      <c r="C1704" s="1">
        <v>45842</v>
      </c>
      <c r="D1704" t="s">
        <v>1154</v>
      </c>
      <c r="E1704" t="s">
        <v>102</v>
      </c>
      <c r="F1704" t="s">
        <v>109</v>
      </c>
      <c r="G1704" s="14">
        <v>8500</v>
      </c>
      <c r="H1704">
        <v>1260</v>
      </c>
      <c r="I1704">
        <v>6.75</v>
      </c>
      <c r="J1704">
        <v>8500</v>
      </c>
    </row>
    <row r="1705" spans="1:10" hidden="1" x14ac:dyDescent="0.25">
      <c r="A1705" t="s">
        <v>1251</v>
      </c>
      <c r="B1705" t="s">
        <v>88</v>
      </c>
      <c r="C1705" s="1">
        <v>45842</v>
      </c>
      <c r="D1705" t="s">
        <v>1253</v>
      </c>
      <c r="E1705" t="s">
        <v>136</v>
      </c>
      <c r="F1705" t="s">
        <v>20</v>
      </c>
      <c r="G1705" s="14">
        <v>48903.6</v>
      </c>
      <c r="H1705">
        <v>1260</v>
      </c>
      <c r="I1705">
        <v>38.81</v>
      </c>
      <c r="J1705">
        <v>59174.85</v>
      </c>
    </row>
    <row r="1706" spans="1:10" hidden="1" x14ac:dyDescent="0.25">
      <c r="A1706" t="s">
        <v>466</v>
      </c>
      <c r="B1706" t="s">
        <v>88</v>
      </c>
      <c r="C1706" s="1">
        <v>45842</v>
      </c>
      <c r="D1706" t="s">
        <v>1336</v>
      </c>
      <c r="E1706" t="s">
        <v>136</v>
      </c>
      <c r="F1706" t="s">
        <v>135</v>
      </c>
      <c r="G1706" s="14">
        <v>246193.85</v>
      </c>
      <c r="H1706">
        <v>1260</v>
      </c>
      <c r="I1706">
        <v>195.39</v>
      </c>
      <c r="J1706">
        <v>297894.56</v>
      </c>
    </row>
    <row r="1707" spans="1:10" hidden="1" x14ac:dyDescent="0.25">
      <c r="A1707" t="s">
        <v>466</v>
      </c>
      <c r="B1707" t="s">
        <v>88</v>
      </c>
      <c r="C1707" s="1">
        <v>45842</v>
      </c>
      <c r="D1707" t="s">
        <v>1336</v>
      </c>
      <c r="E1707" t="s">
        <v>136</v>
      </c>
      <c r="F1707" t="s">
        <v>15</v>
      </c>
      <c r="G1707" s="14">
        <v>248668.15</v>
      </c>
      <c r="H1707">
        <v>1260</v>
      </c>
      <c r="I1707">
        <v>197.36</v>
      </c>
      <c r="J1707">
        <v>300888.46000000002</v>
      </c>
    </row>
    <row r="1708" spans="1:10" hidden="1" x14ac:dyDescent="0.25">
      <c r="A1708" t="s">
        <v>473</v>
      </c>
      <c r="B1708" t="s">
        <v>88</v>
      </c>
      <c r="C1708" s="1">
        <v>45842</v>
      </c>
      <c r="D1708" t="s">
        <v>1347</v>
      </c>
      <c r="E1708" t="s">
        <v>152</v>
      </c>
      <c r="F1708" t="s">
        <v>475</v>
      </c>
      <c r="G1708" s="14">
        <v>339877.44</v>
      </c>
      <c r="H1708">
        <v>1260</v>
      </c>
      <c r="I1708">
        <v>269.74</v>
      </c>
      <c r="J1708">
        <v>411251.7</v>
      </c>
    </row>
    <row r="1709" spans="1:10" hidden="1" x14ac:dyDescent="0.25">
      <c r="A1709" t="s">
        <v>473</v>
      </c>
      <c r="B1709" t="s">
        <v>88</v>
      </c>
      <c r="C1709" s="1">
        <v>45842</v>
      </c>
      <c r="D1709" t="s">
        <v>1347</v>
      </c>
      <c r="E1709" t="s">
        <v>153</v>
      </c>
      <c r="F1709" t="s">
        <v>475</v>
      </c>
      <c r="G1709" s="14">
        <v>8898.2199999999993</v>
      </c>
      <c r="H1709">
        <v>1260</v>
      </c>
      <c r="I1709">
        <v>7.06</v>
      </c>
      <c r="J1709">
        <v>8898.2199999999993</v>
      </c>
    </row>
    <row r="1710" spans="1:10" hidden="1" x14ac:dyDescent="0.25">
      <c r="A1710" t="s">
        <v>265</v>
      </c>
      <c r="B1710" t="s">
        <v>88</v>
      </c>
      <c r="C1710" s="1">
        <v>45841</v>
      </c>
      <c r="D1710" t="s">
        <v>1107</v>
      </c>
      <c r="E1710" t="s">
        <v>267</v>
      </c>
      <c r="F1710" t="s">
        <v>109</v>
      </c>
      <c r="G1710" s="14">
        <v>68500</v>
      </c>
      <c r="H1710">
        <v>1245</v>
      </c>
      <c r="I1710">
        <v>55.02</v>
      </c>
      <c r="J1710">
        <v>82885</v>
      </c>
    </row>
    <row r="1711" spans="1:10" hidden="1" x14ac:dyDescent="0.25">
      <c r="A1711" t="s">
        <v>383</v>
      </c>
      <c r="B1711" t="s">
        <v>88</v>
      </c>
      <c r="C1711" s="1">
        <v>45841</v>
      </c>
      <c r="D1711" t="s">
        <v>1199</v>
      </c>
      <c r="E1711" t="s">
        <v>136</v>
      </c>
      <c r="F1711" t="s">
        <v>135</v>
      </c>
      <c r="G1711" s="14">
        <v>227194.93</v>
      </c>
      <c r="H1711">
        <v>1245</v>
      </c>
      <c r="I1711">
        <v>182.49</v>
      </c>
      <c r="J1711">
        <v>274905.87</v>
      </c>
    </row>
    <row r="1712" spans="1:10" hidden="1" x14ac:dyDescent="0.25">
      <c r="A1712" t="s">
        <v>420</v>
      </c>
      <c r="B1712" t="s">
        <v>88</v>
      </c>
      <c r="C1712" s="1">
        <v>45841</v>
      </c>
      <c r="D1712" t="s">
        <v>1261</v>
      </c>
      <c r="E1712" t="s">
        <v>422</v>
      </c>
      <c r="F1712" t="s">
        <v>109</v>
      </c>
      <c r="G1712" s="14">
        <v>46962</v>
      </c>
      <c r="H1712">
        <v>1245</v>
      </c>
      <c r="I1712">
        <v>37.72</v>
      </c>
      <c r="J1712">
        <v>56824.02</v>
      </c>
    </row>
    <row r="1713" spans="1:10" hidden="1" x14ac:dyDescent="0.25">
      <c r="A1713" t="s">
        <v>106</v>
      </c>
      <c r="B1713" t="s">
        <v>88</v>
      </c>
      <c r="C1713" s="1">
        <v>45840</v>
      </c>
      <c r="D1713" t="s">
        <v>951</v>
      </c>
      <c r="E1713" t="s">
        <v>108</v>
      </c>
      <c r="F1713" t="s">
        <v>109</v>
      </c>
      <c r="G1713" s="14">
        <v>51467</v>
      </c>
      <c r="H1713">
        <v>1245</v>
      </c>
      <c r="I1713">
        <v>41.34</v>
      </c>
      <c r="J1713">
        <v>51467</v>
      </c>
    </row>
    <row r="1714" spans="1:10" hidden="1" x14ac:dyDescent="0.25">
      <c r="A1714" t="s">
        <v>443</v>
      </c>
      <c r="B1714" t="s">
        <v>88</v>
      </c>
      <c r="C1714" s="1">
        <v>45840</v>
      </c>
      <c r="D1714" t="s">
        <v>1305</v>
      </c>
      <c r="E1714" t="s">
        <v>90</v>
      </c>
      <c r="F1714" t="s">
        <v>91</v>
      </c>
      <c r="G1714" s="14">
        <v>53928.78</v>
      </c>
      <c r="H1714">
        <v>1245</v>
      </c>
      <c r="I1714">
        <v>43.32</v>
      </c>
      <c r="J1714">
        <v>65253.83</v>
      </c>
    </row>
    <row r="1715" spans="1:10" hidden="1" x14ac:dyDescent="0.25">
      <c r="A1715" t="s">
        <v>443</v>
      </c>
      <c r="B1715" t="s">
        <v>88</v>
      </c>
      <c r="C1715" s="1">
        <v>45840</v>
      </c>
      <c r="D1715" t="s">
        <v>1305</v>
      </c>
      <c r="E1715" t="s">
        <v>92</v>
      </c>
      <c r="F1715" t="s">
        <v>91</v>
      </c>
      <c r="G1715" s="14">
        <v>12766.17</v>
      </c>
      <c r="H1715">
        <v>1245</v>
      </c>
      <c r="I1715">
        <v>10.25</v>
      </c>
      <c r="J1715">
        <v>12766.17</v>
      </c>
    </row>
    <row r="1716" spans="1:10" hidden="1" x14ac:dyDescent="0.25">
      <c r="A1716" t="s">
        <v>1362</v>
      </c>
      <c r="B1716" t="s">
        <v>88</v>
      </c>
      <c r="C1716" s="1">
        <v>45840</v>
      </c>
      <c r="D1716" t="s">
        <v>1363</v>
      </c>
      <c r="E1716" t="s">
        <v>136</v>
      </c>
      <c r="F1716" t="s">
        <v>6</v>
      </c>
      <c r="G1716" s="14">
        <v>384998.9</v>
      </c>
      <c r="H1716">
        <v>1245</v>
      </c>
      <c r="I1716">
        <v>309.24</v>
      </c>
      <c r="J1716">
        <v>465848.67</v>
      </c>
    </row>
    <row r="1717" spans="1:10" hidden="1" x14ac:dyDescent="0.25">
      <c r="A1717" t="s">
        <v>1362</v>
      </c>
      <c r="B1717" t="s">
        <v>88</v>
      </c>
      <c r="C1717" s="1">
        <v>45840</v>
      </c>
      <c r="D1717" t="s">
        <v>1364</v>
      </c>
      <c r="E1717" t="s">
        <v>136</v>
      </c>
      <c r="F1717" t="s">
        <v>135</v>
      </c>
      <c r="G1717" s="14">
        <v>477327.5</v>
      </c>
      <c r="H1717">
        <v>1245</v>
      </c>
      <c r="I1717">
        <v>383.4</v>
      </c>
      <c r="J1717">
        <v>577566.28</v>
      </c>
    </row>
    <row r="1718" spans="1:10" hidden="1" x14ac:dyDescent="0.25">
      <c r="A1718" t="s">
        <v>533</v>
      </c>
      <c r="B1718" t="s">
        <v>88</v>
      </c>
      <c r="C1718" s="1">
        <v>45840</v>
      </c>
      <c r="D1718" t="s">
        <v>1473</v>
      </c>
      <c r="E1718" t="s">
        <v>90</v>
      </c>
      <c r="F1718" t="s">
        <v>239</v>
      </c>
      <c r="G1718" s="14">
        <v>8099.18</v>
      </c>
      <c r="H1718">
        <v>1245</v>
      </c>
      <c r="I1718">
        <v>6.51</v>
      </c>
      <c r="J1718">
        <v>9800.02</v>
      </c>
    </row>
    <row r="1719" spans="1:10" hidden="1" x14ac:dyDescent="0.25">
      <c r="A1719" t="s">
        <v>112</v>
      </c>
      <c r="B1719" t="s">
        <v>88</v>
      </c>
      <c r="C1719" s="1">
        <v>45839</v>
      </c>
      <c r="D1719" t="s">
        <v>590</v>
      </c>
      <c r="E1719" t="s">
        <v>114</v>
      </c>
      <c r="F1719" t="s">
        <v>117</v>
      </c>
      <c r="G1719" s="14">
        <v>1848.85</v>
      </c>
      <c r="H1719">
        <v>1235</v>
      </c>
      <c r="I1719">
        <v>1.5</v>
      </c>
      <c r="J1719">
        <v>2237.11</v>
      </c>
    </row>
    <row r="1720" spans="1:10" hidden="1" x14ac:dyDescent="0.25">
      <c r="A1720" t="s">
        <v>132</v>
      </c>
      <c r="B1720" t="s">
        <v>88</v>
      </c>
      <c r="C1720" s="1">
        <v>45839</v>
      </c>
      <c r="D1720" t="s">
        <v>600</v>
      </c>
      <c r="E1720" t="s">
        <v>136</v>
      </c>
      <c r="F1720" t="s">
        <v>135</v>
      </c>
      <c r="G1720" s="14">
        <v>28252.85</v>
      </c>
      <c r="H1720">
        <v>1235</v>
      </c>
      <c r="I1720">
        <v>22.88</v>
      </c>
      <c r="J1720">
        <v>34185.949999999997</v>
      </c>
    </row>
    <row r="1721" spans="1:10" hidden="1" x14ac:dyDescent="0.25">
      <c r="A1721" t="s">
        <v>275</v>
      </c>
      <c r="B1721" t="s">
        <v>88</v>
      </c>
      <c r="C1721" s="1">
        <v>45839</v>
      </c>
      <c r="D1721" t="s">
        <v>689</v>
      </c>
      <c r="E1721" t="s">
        <v>147</v>
      </c>
      <c r="F1721" t="s">
        <v>91</v>
      </c>
      <c r="G1721" s="14">
        <v>89904.92</v>
      </c>
      <c r="H1721">
        <v>1235</v>
      </c>
      <c r="I1721">
        <v>72.8</v>
      </c>
      <c r="J1721">
        <v>89904.92</v>
      </c>
    </row>
    <row r="1722" spans="1:10" hidden="1" x14ac:dyDescent="0.25">
      <c r="A1722" t="s">
        <v>275</v>
      </c>
      <c r="B1722" t="s">
        <v>88</v>
      </c>
      <c r="C1722" s="1">
        <v>45839</v>
      </c>
      <c r="D1722" t="s">
        <v>689</v>
      </c>
      <c r="E1722" t="s">
        <v>90</v>
      </c>
      <c r="F1722" t="s">
        <v>91</v>
      </c>
      <c r="G1722" s="14">
        <v>997012.01</v>
      </c>
      <c r="H1722">
        <v>1235</v>
      </c>
      <c r="I1722">
        <v>807.3</v>
      </c>
      <c r="J1722">
        <v>1206384.54</v>
      </c>
    </row>
    <row r="1723" spans="1:10" hidden="1" x14ac:dyDescent="0.25">
      <c r="A1723" t="s">
        <v>275</v>
      </c>
      <c r="B1723" t="s">
        <v>88</v>
      </c>
      <c r="C1723" s="1">
        <v>45839</v>
      </c>
      <c r="D1723" t="s">
        <v>689</v>
      </c>
      <c r="E1723" t="s">
        <v>92</v>
      </c>
      <c r="F1723" t="s">
        <v>91</v>
      </c>
      <c r="G1723" s="14">
        <v>84908.08</v>
      </c>
      <c r="H1723">
        <v>1235</v>
      </c>
      <c r="I1723">
        <v>68.75</v>
      </c>
      <c r="J1723">
        <v>84908.08</v>
      </c>
    </row>
    <row r="1724" spans="1:10" hidden="1" x14ac:dyDescent="0.25">
      <c r="A1724" t="s">
        <v>298</v>
      </c>
      <c r="B1724" t="s">
        <v>88</v>
      </c>
      <c r="C1724" s="1">
        <v>45839</v>
      </c>
      <c r="D1724" t="s">
        <v>703</v>
      </c>
      <c r="E1724" t="s">
        <v>205</v>
      </c>
      <c r="F1724" t="s">
        <v>109</v>
      </c>
      <c r="G1724" s="14">
        <v>60000</v>
      </c>
      <c r="H1724">
        <v>1235</v>
      </c>
      <c r="I1724">
        <v>48.58</v>
      </c>
      <c r="J1724">
        <v>72600</v>
      </c>
    </row>
    <row r="1725" spans="1:10" hidden="1" x14ac:dyDescent="0.25">
      <c r="A1725" t="s">
        <v>313</v>
      </c>
      <c r="B1725" t="s">
        <v>88</v>
      </c>
      <c r="C1725" s="1">
        <v>45839</v>
      </c>
      <c r="D1725" t="s">
        <v>709</v>
      </c>
      <c r="E1725" t="s">
        <v>147</v>
      </c>
      <c r="F1725" t="s">
        <v>91</v>
      </c>
      <c r="G1725" s="14">
        <v>20400.099999999999</v>
      </c>
      <c r="H1725">
        <v>1235</v>
      </c>
      <c r="I1725">
        <v>16.52</v>
      </c>
      <c r="J1725">
        <v>20400.099999999999</v>
      </c>
    </row>
    <row r="1726" spans="1:10" hidden="1" x14ac:dyDescent="0.25">
      <c r="A1726" t="s">
        <v>313</v>
      </c>
      <c r="B1726" t="s">
        <v>88</v>
      </c>
      <c r="C1726" s="1">
        <v>45839</v>
      </c>
      <c r="D1726" t="s">
        <v>709</v>
      </c>
      <c r="E1726" t="s">
        <v>90</v>
      </c>
      <c r="F1726" t="s">
        <v>91</v>
      </c>
      <c r="G1726" s="14">
        <v>251752.81</v>
      </c>
      <c r="H1726">
        <v>1235</v>
      </c>
      <c r="I1726">
        <v>203.85</v>
      </c>
      <c r="J1726">
        <v>304620.90999999997</v>
      </c>
    </row>
    <row r="1727" spans="1:10" hidden="1" x14ac:dyDescent="0.25">
      <c r="A1727" t="s">
        <v>324</v>
      </c>
      <c r="B1727" t="s">
        <v>88</v>
      </c>
      <c r="C1727" s="1">
        <v>45839</v>
      </c>
      <c r="D1727" t="s">
        <v>718</v>
      </c>
      <c r="E1727" t="s">
        <v>136</v>
      </c>
      <c r="F1727" t="s">
        <v>15</v>
      </c>
      <c r="G1727" s="14">
        <v>1225813.5</v>
      </c>
      <c r="H1727">
        <v>1235</v>
      </c>
      <c r="I1727">
        <v>992.56</v>
      </c>
      <c r="J1727">
        <v>1225813.5</v>
      </c>
    </row>
    <row r="1728" spans="1:10" hidden="1" x14ac:dyDescent="0.25">
      <c r="A1728" t="s">
        <v>353</v>
      </c>
      <c r="B1728" t="s">
        <v>88</v>
      </c>
      <c r="C1728" s="1">
        <v>45839</v>
      </c>
      <c r="D1728" t="s">
        <v>735</v>
      </c>
      <c r="E1728" t="s">
        <v>114</v>
      </c>
      <c r="F1728" t="s">
        <v>117</v>
      </c>
      <c r="G1728" s="14">
        <v>693.33</v>
      </c>
      <c r="H1728">
        <v>1235</v>
      </c>
      <c r="I1728">
        <v>0.56000000000000005</v>
      </c>
      <c r="J1728">
        <v>838.93</v>
      </c>
    </row>
    <row r="1729" spans="1:10" hidden="1" x14ac:dyDescent="0.25">
      <c r="A1729" t="s">
        <v>364</v>
      </c>
      <c r="B1729" t="s">
        <v>88</v>
      </c>
      <c r="C1729" s="1">
        <v>45839</v>
      </c>
      <c r="D1729" t="s">
        <v>748</v>
      </c>
      <c r="E1729" t="s">
        <v>102</v>
      </c>
      <c r="F1729" t="s">
        <v>109</v>
      </c>
      <c r="G1729" s="14">
        <v>12000</v>
      </c>
      <c r="H1729">
        <v>1235</v>
      </c>
      <c r="I1729">
        <v>9.7200000000000006</v>
      </c>
      <c r="J1729">
        <v>12000</v>
      </c>
    </row>
    <row r="1730" spans="1:10" hidden="1" x14ac:dyDescent="0.25">
      <c r="A1730" t="s">
        <v>405</v>
      </c>
      <c r="B1730" t="s">
        <v>88</v>
      </c>
      <c r="C1730" s="1">
        <v>45839</v>
      </c>
      <c r="D1730" t="s">
        <v>773</v>
      </c>
      <c r="E1730" t="s">
        <v>407</v>
      </c>
      <c r="F1730" t="s">
        <v>117</v>
      </c>
      <c r="G1730" s="14">
        <v>2643.43</v>
      </c>
      <c r="H1730">
        <v>1235</v>
      </c>
      <c r="I1730">
        <v>2.14</v>
      </c>
      <c r="J1730">
        <v>2920.99</v>
      </c>
    </row>
    <row r="1731" spans="1:10" hidden="1" x14ac:dyDescent="0.25">
      <c r="A1731" t="s">
        <v>405</v>
      </c>
      <c r="B1731" t="s">
        <v>88</v>
      </c>
      <c r="C1731" s="1">
        <v>45839</v>
      </c>
      <c r="D1731" t="s">
        <v>773</v>
      </c>
      <c r="E1731" t="s">
        <v>218</v>
      </c>
      <c r="F1731" t="s">
        <v>117</v>
      </c>
      <c r="G1731" s="14">
        <v>15057.86</v>
      </c>
      <c r="H1731">
        <v>1235</v>
      </c>
      <c r="I1731">
        <v>12.19</v>
      </c>
      <c r="J1731">
        <v>18220.009999999998</v>
      </c>
    </row>
    <row r="1732" spans="1:10" hidden="1" x14ac:dyDescent="0.25">
      <c r="A1732" t="s">
        <v>438</v>
      </c>
      <c r="B1732" t="s">
        <v>88</v>
      </c>
      <c r="C1732" s="1">
        <v>45839</v>
      </c>
      <c r="D1732" t="s">
        <v>813</v>
      </c>
      <c r="E1732" t="s">
        <v>102</v>
      </c>
      <c r="F1732" t="s">
        <v>109</v>
      </c>
      <c r="G1732" s="14">
        <v>144000</v>
      </c>
      <c r="H1732">
        <v>1235</v>
      </c>
      <c r="I1732">
        <v>116.6</v>
      </c>
      <c r="J1732">
        <v>144000</v>
      </c>
    </row>
    <row r="1733" spans="1:10" hidden="1" x14ac:dyDescent="0.25">
      <c r="A1733" t="s">
        <v>443</v>
      </c>
      <c r="B1733" t="s">
        <v>88</v>
      </c>
      <c r="C1733" s="1">
        <v>45839</v>
      </c>
      <c r="D1733" t="s">
        <v>815</v>
      </c>
      <c r="E1733" t="s">
        <v>90</v>
      </c>
      <c r="F1733" t="s">
        <v>239</v>
      </c>
      <c r="G1733" s="14">
        <v>10916.54</v>
      </c>
      <c r="H1733">
        <v>1235</v>
      </c>
      <c r="I1733">
        <v>8.84</v>
      </c>
      <c r="J1733">
        <v>13209.02</v>
      </c>
    </row>
    <row r="1734" spans="1:10" hidden="1" x14ac:dyDescent="0.25">
      <c r="A1734" t="s">
        <v>443</v>
      </c>
      <c r="B1734" t="s">
        <v>88</v>
      </c>
      <c r="C1734" s="1">
        <v>45839</v>
      </c>
      <c r="D1734" t="s">
        <v>815</v>
      </c>
      <c r="E1734" t="s">
        <v>92</v>
      </c>
      <c r="F1734" t="s">
        <v>239</v>
      </c>
      <c r="G1734" s="14">
        <v>90.99</v>
      </c>
      <c r="H1734">
        <v>1235</v>
      </c>
      <c r="I1734">
        <v>7.0000000000000007E-2</v>
      </c>
      <c r="J1734">
        <v>90.99</v>
      </c>
    </row>
    <row r="1735" spans="1:10" hidden="1" x14ac:dyDescent="0.25">
      <c r="A1735" t="s">
        <v>478</v>
      </c>
      <c r="B1735" t="s">
        <v>88</v>
      </c>
      <c r="C1735" s="1">
        <v>45839</v>
      </c>
      <c r="D1735" t="s">
        <v>842</v>
      </c>
      <c r="E1735" t="s">
        <v>843</v>
      </c>
      <c r="F1735" t="s">
        <v>109</v>
      </c>
      <c r="G1735" s="14">
        <v>13851.24</v>
      </c>
      <c r="H1735">
        <v>1235</v>
      </c>
      <c r="I1735">
        <v>11.22</v>
      </c>
      <c r="J1735">
        <v>16760</v>
      </c>
    </row>
    <row r="1736" spans="1:10" hidden="1" x14ac:dyDescent="0.25">
      <c r="A1736" t="s">
        <v>552</v>
      </c>
      <c r="B1736" t="s">
        <v>88</v>
      </c>
      <c r="C1736" s="1">
        <v>45839</v>
      </c>
      <c r="D1736" t="s">
        <v>926</v>
      </c>
      <c r="E1736" t="s">
        <v>136</v>
      </c>
      <c r="F1736" t="s">
        <v>6</v>
      </c>
      <c r="G1736" s="14">
        <v>249612</v>
      </c>
      <c r="H1736">
        <v>1235</v>
      </c>
      <c r="I1736">
        <v>202.11</v>
      </c>
      <c r="J1736">
        <v>302030.52</v>
      </c>
    </row>
    <row r="1737" spans="1:10" hidden="1" x14ac:dyDescent="0.25">
      <c r="A1737" t="s">
        <v>125</v>
      </c>
      <c r="B1737" t="s">
        <v>88</v>
      </c>
      <c r="C1737" s="1">
        <v>45838</v>
      </c>
      <c r="D1737" t="s">
        <v>598</v>
      </c>
      <c r="E1737" t="s">
        <v>114</v>
      </c>
      <c r="F1737" t="s">
        <v>117</v>
      </c>
      <c r="G1737" s="14">
        <v>2105.5100000000002</v>
      </c>
      <c r="H1737">
        <v>1215</v>
      </c>
      <c r="I1737">
        <v>1.73</v>
      </c>
      <c r="J1737">
        <v>2547.67</v>
      </c>
    </row>
    <row r="1738" spans="1:10" hidden="1" x14ac:dyDescent="0.25">
      <c r="A1738" t="s">
        <v>125</v>
      </c>
      <c r="B1738" t="s">
        <v>88</v>
      </c>
      <c r="C1738" s="1">
        <v>45838</v>
      </c>
      <c r="D1738" t="s">
        <v>598</v>
      </c>
      <c r="E1738" t="s">
        <v>127</v>
      </c>
      <c r="F1738" t="s">
        <v>117</v>
      </c>
      <c r="G1738" s="14">
        <v>210.56</v>
      </c>
      <c r="H1738">
        <v>1215</v>
      </c>
      <c r="I1738">
        <v>0.17</v>
      </c>
      <c r="J1738">
        <v>210.56</v>
      </c>
    </row>
    <row r="1739" spans="1:10" hidden="1" x14ac:dyDescent="0.25">
      <c r="A1739" t="s">
        <v>607</v>
      </c>
      <c r="B1739" t="s">
        <v>88</v>
      </c>
      <c r="C1739" s="1">
        <v>45838</v>
      </c>
      <c r="D1739" t="s">
        <v>608</v>
      </c>
      <c r="E1739" t="s">
        <v>136</v>
      </c>
      <c r="F1739" t="s">
        <v>12</v>
      </c>
      <c r="G1739" s="14">
        <v>50908.5</v>
      </c>
      <c r="H1739">
        <v>1215</v>
      </c>
      <c r="I1739">
        <v>41.9</v>
      </c>
      <c r="J1739">
        <v>61599.29</v>
      </c>
    </row>
    <row r="1740" spans="1:10" hidden="1" x14ac:dyDescent="0.25">
      <c r="A1740" t="s">
        <v>300</v>
      </c>
      <c r="B1740" t="s">
        <v>88</v>
      </c>
      <c r="C1740" s="1">
        <v>45838</v>
      </c>
      <c r="D1740" t="s">
        <v>707</v>
      </c>
      <c r="E1740" t="s">
        <v>147</v>
      </c>
      <c r="F1740" t="s">
        <v>91</v>
      </c>
      <c r="G1740" s="14">
        <v>11777.91</v>
      </c>
      <c r="H1740">
        <v>1215</v>
      </c>
      <c r="I1740">
        <v>9.69</v>
      </c>
      <c r="J1740">
        <v>11777.91</v>
      </c>
    </row>
    <row r="1741" spans="1:10" hidden="1" x14ac:dyDescent="0.25">
      <c r="A1741" t="s">
        <v>300</v>
      </c>
      <c r="B1741" t="s">
        <v>88</v>
      </c>
      <c r="C1741" s="1">
        <v>45838</v>
      </c>
      <c r="D1741" t="s">
        <v>707</v>
      </c>
      <c r="E1741" t="s">
        <v>90</v>
      </c>
      <c r="F1741" t="s">
        <v>91</v>
      </c>
      <c r="G1741" s="14">
        <v>55562.67</v>
      </c>
      <c r="H1741">
        <v>1215</v>
      </c>
      <c r="I1741">
        <v>45.73</v>
      </c>
      <c r="J1741">
        <v>67230.84</v>
      </c>
    </row>
    <row r="1742" spans="1:10" hidden="1" x14ac:dyDescent="0.25">
      <c r="A1742" t="s">
        <v>349</v>
      </c>
      <c r="B1742" t="s">
        <v>96</v>
      </c>
      <c r="C1742" s="1">
        <v>45838</v>
      </c>
      <c r="D1742" t="s">
        <v>734</v>
      </c>
      <c r="E1742" t="s">
        <v>102</v>
      </c>
      <c r="F1742" t="s">
        <v>109</v>
      </c>
      <c r="G1742" s="14">
        <v>162370.06</v>
      </c>
      <c r="H1742">
        <v>1215</v>
      </c>
      <c r="I1742">
        <v>133.63999999999999</v>
      </c>
      <c r="J1742">
        <v>162370.06</v>
      </c>
    </row>
    <row r="1743" spans="1:10" hidden="1" x14ac:dyDescent="0.25">
      <c r="A1743" t="s">
        <v>400</v>
      </c>
      <c r="B1743" t="s">
        <v>88</v>
      </c>
      <c r="C1743" s="1">
        <v>45838</v>
      </c>
      <c r="D1743" t="s">
        <v>772</v>
      </c>
      <c r="E1743" t="s">
        <v>184</v>
      </c>
      <c r="F1743" t="s">
        <v>20</v>
      </c>
      <c r="G1743" s="14">
        <v>9328.5300000000007</v>
      </c>
      <c r="H1743">
        <v>1215</v>
      </c>
      <c r="I1743">
        <v>7.68</v>
      </c>
      <c r="J1743">
        <v>11287.52</v>
      </c>
    </row>
    <row r="1744" spans="1:10" hidden="1" x14ac:dyDescent="0.25">
      <c r="A1744" t="s">
        <v>400</v>
      </c>
      <c r="B1744" t="s">
        <v>88</v>
      </c>
      <c r="C1744" s="1">
        <v>45838</v>
      </c>
      <c r="D1744" t="s">
        <v>772</v>
      </c>
      <c r="E1744" t="s">
        <v>184</v>
      </c>
      <c r="F1744" t="s">
        <v>15</v>
      </c>
      <c r="G1744" s="14">
        <v>177242.05</v>
      </c>
      <c r="H1744">
        <v>1215</v>
      </c>
      <c r="I1744">
        <v>145.88</v>
      </c>
      <c r="J1744">
        <v>214462.88</v>
      </c>
    </row>
    <row r="1745" spans="1:10" hidden="1" x14ac:dyDescent="0.25">
      <c r="A1745" t="s">
        <v>886</v>
      </c>
      <c r="B1745" t="s">
        <v>88</v>
      </c>
      <c r="C1745" s="1">
        <v>45838</v>
      </c>
      <c r="D1745" t="s">
        <v>887</v>
      </c>
      <c r="E1745" t="s">
        <v>215</v>
      </c>
      <c r="F1745" t="s">
        <v>109</v>
      </c>
      <c r="G1745" s="14">
        <v>37185.949999999997</v>
      </c>
      <c r="H1745">
        <v>1215</v>
      </c>
      <c r="I1745">
        <v>30.61</v>
      </c>
      <c r="J1745">
        <v>44995</v>
      </c>
    </row>
    <row r="1746" spans="1:10" hidden="1" x14ac:dyDescent="0.25">
      <c r="A1746" t="s">
        <v>521</v>
      </c>
      <c r="B1746" t="s">
        <v>88</v>
      </c>
      <c r="C1746" s="1">
        <v>45838</v>
      </c>
      <c r="D1746" t="s">
        <v>903</v>
      </c>
      <c r="E1746" t="s">
        <v>136</v>
      </c>
      <c r="F1746" t="s">
        <v>135</v>
      </c>
      <c r="G1746" s="14">
        <v>181290</v>
      </c>
      <c r="H1746">
        <v>1215</v>
      </c>
      <c r="I1746">
        <v>149.21</v>
      </c>
      <c r="J1746">
        <v>219360.9</v>
      </c>
    </row>
    <row r="1747" spans="1:10" hidden="1" x14ac:dyDescent="0.25">
      <c r="A1747" t="s">
        <v>246</v>
      </c>
      <c r="B1747" t="s">
        <v>88</v>
      </c>
      <c r="C1747" s="1">
        <v>45837</v>
      </c>
      <c r="D1747" t="s">
        <v>677</v>
      </c>
      <c r="E1747" t="s">
        <v>114</v>
      </c>
      <c r="F1747" t="s">
        <v>117</v>
      </c>
      <c r="G1747" s="14">
        <v>32239.52</v>
      </c>
      <c r="H1747">
        <v>1205</v>
      </c>
      <c r="I1747">
        <v>26.75</v>
      </c>
      <c r="J1747">
        <v>39009.82</v>
      </c>
    </row>
    <row r="1748" spans="1:10" hidden="1" x14ac:dyDescent="0.25">
      <c r="A1748" t="s">
        <v>182</v>
      </c>
      <c r="B1748" t="s">
        <v>88</v>
      </c>
      <c r="C1748" s="1">
        <v>45836</v>
      </c>
      <c r="D1748" t="s">
        <v>648</v>
      </c>
      <c r="E1748" t="s">
        <v>184</v>
      </c>
      <c r="F1748" t="s">
        <v>15</v>
      </c>
      <c r="G1748" s="14">
        <v>98200</v>
      </c>
      <c r="H1748">
        <v>1205</v>
      </c>
      <c r="I1748">
        <v>81.489999999999995</v>
      </c>
      <c r="J1748">
        <v>118822</v>
      </c>
    </row>
    <row r="1749" spans="1:10" hidden="1" x14ac:dyDescent="0.25">
      <c r="A1749" t="s">
        <v>778</v>
      </c>
      <c r="B1749" t="s">
        <v>88</v>
      </c>
      <c r="C1749" s="1">
        <v>45836</v>
      </c>
      <c r="D1749" t="s">
        <v>779</v>
      </c>
      <c r="E1749" t="s">
        <v>215</v>
      </c>
      <c r="F1749" t="s">
        <v>109</v>
      </c>
      <c r="G1749" s="14">
        <v>29379.35</v>
      </c>
      <c r="H1749">
        <v>1205</v>
      </c>
      <c r="I1749">
        <v>24.38</v>
      </c>
      <c r="J1749">
        <v>35549.01</v>
      </c>
    </row>
    <row r="1750" spans="1:10" hidden="1" x14ac:dyDescent="0.25">
      <c r="A1750" t="s">
        <v>515</v>
      </c>
      <c r="B1750" t="s">
        <v>88</v>
      </c>
      <c r="C1750" s="1">
        <v>45836</v>
      </c>
      <c r="D1750" t="s">
        <v>898</v>
      </c>
      <c r="E1750" t="s">
        <v>899</v>
      </c>
      <c r="F1750" t="s">
        <v>15</v>
      </c>
      <c r="G1750" s="14">
        <v>62700</v>
      </c>
      <c r="H1750">
        <v>1205</v>
      </c>
      <c r="I1750">
        <v>52.03</v>
      </c>
      <c r="J1750">
        <v>75867</v>
      </c>
    </row>
    <row r="1751" spans="1:10" hidden="1" x14ac:dyDescent="0.25">
      <c r="A1751" t="s">
        <v>361</v>
      </c>
      <c r="B1751" t="s">
        <v>88</v>
      </c>
      <c r="C1751" s="1">
        <v>45835</v>
      </c>
      <c r="D1751" t="s">
        <v>743</v>
      </c>
      <c r="E1751" t="s">
        <v>136</v>
      </c>
      <c r="F1751" t="s">
        <v>109</v>
      </c>
      <c r="G1751" s="14">
        <v>207325.84</v>
      </c>
      <c r="H1751">
        <v>1205</v>
      </c>
      <c r="I1751">
        <v>172.05</v>
      </c>
      <c r="J1751">
        <v>250864.26</v>
      </c>
    </row>
    <row r="1752" spans="1:10" hidden="1" x14ac:dyDescent="0.25">
      <c r="A1752" t="s">
        <v>533</v>
      </c>
      <c r="B1752" t="s">
        <v>88</v>
      </c>
      <c r="C1752" s="1">
        <v>45835</v>
      </c>
      <c r="D1752" t="s">
        <v>922</v>
      </c>
      <c r="E1752" t="s">
        <v>147</v>
      </c>
      <c r="F1752" t="s">
        <v>117</v>
      </c>
      <c r="G1752" s="14">
        <v>73.88</v>
      </c>
      <c r="H1752">
        <v>1205</v>
      </c>
      <c r="I1752">
        <v>0.06</v>
      </c>
      <c r="J1752">
        <v>73.88</v>
      </c>
    </row>
    <row r="1753" spans="1:10" hidden="1" x14ac:dyDescent="0.25">
      <c r="A1753" t="s">
        <v>533</v>
      </c>
      <c r="B1753" t="s">
        <v>88</v>
      </c>
      <c r="C1753" s="1">
        <v>45835</v>
      </c>
      <c r="D1753" t="s">
        <v>922</v>
      </c>
      <c r="E1753" t="s">
        <v>90</v>
      </c>
      <c r="F1753" t="s">
        <v>117</v>
      </c>
      <c r="G1753" s="14">
        <v>8616.6299999999992</v>
      </c>
      <c r="H1753">
        <v>1205</v>
      </c>
      <c r="I1753">
        <v>7.15</v>
      </c>
      <c r="J1753">
        <v>10426.129999999999</v>
      </c>
    </row>
    <row r="1754" spans="1:10" hidden="1" x14ac:dyDescent="0.25">
      <c r="A1754" t="s">
        <v>533</v>
      </c>
      <c r="B1754" t="s">
        <v>88</v>
      </c>
      <c r="C1754" s="1">
        <v>45835</v>
      </c>
      <c r="D1754" t="s">
        <v>923</v>
      </c>
      <c r="E1754" t="s">
        <v>147</v>
      </c>
      <c r="F1754" t="s">
        <v>117</v>
      </c>
      <c r="G1754" s="14">
        <v>73.88</v>
      </c>
      <c r="H1754">
        <v>1205</v>
      </c>
      <c r="I1754">
        <v>0.06</v>
      </c>
      <c r="J1754">
        <v>73.88</v>
      </c>
    </row>
    <row r="1755" spans="1:10" hidden="1" x14ac:dyDescent="0.25">
      <c r="A1755" t="s">
        <v>533</v>
      </c>
      <c r="B1755" t="s">
        <v>88</v>
      </c>
      <c r="C1755" s="1">
        <v>45835</v>
      </c>
      <c r="D1755" t="s">
        <v>923</v>
      </c>
      <c r="E1755" t="s">
        <v>90</v>
      </c>
      <c r="F1755" t="s">
        <v>117</v>
      </c>
      <c r="G1755" s="14">
        <v>28203.41</v>
      </c>
      <c r="H1755">
        <v>1205</v>
      </c>
      <c r="I1755">
        <v>23.41</v>
      </c>
      <c r="J1755">
        <v>34126.14</v>
      </c>
    </row>
    <row r="1756" spans="1:10" hidden="1" x14ac:dyDescent="0.25">
      <c r="A1756" t="s">
        <v>687</v>
      </c>
      <c r="B1756" t="s">
        <v>88</v>
      </c>
      <c r="C1756" s="1">
        <v>45834</v>
      </c>
      <c r="D1756" t="s">
        <v>688</v>
      </c>
      <c r="E1756" t="s">
        <v>274</v>
      </c>
      <c r="F1756" t="s">
        <v>109</v>
      </c>
      <c r="G1756" s="14">
        <v>9917.36</v>
      </c>
      <c r="H1756">
        <v>1205</v>
      </c>
      <c r="I1756">
        <v>8.23</v>
      </c>
      <c r="J1756">
        <v>12000.01</v>
      </c>
    </row>
    <row r="1757" spans="1:10" hidden="1" x14ac:dyDescent="0.25">
      <c r="A1757" t="s">
        <v>443</v>
      </c>
      <c r="B1757" t="s">
        <v>88</v>
      </c>
      <c r="C1757" s="1">
        <v>45834</v>
      </c>
      <c r="D1757" t="s">
        <v>826</v>
      </c>
      <c r="E1757" t="s">
        <v>90</v>
      </c>
      <c r="F1757" t="s">
        <v>91</v>
      </c>
      <c r="G1757" s="14">
        <v>38377.68</v>
      </c>
      <c r="H1757">
        <v>1205</v>
      </c>
      <c r="I1757">
        <v>31.85</v>
      </c>
      <c r="J1757">
        <v>46437</v>
      </c>
    </row>
    <row r="1758" spans="1:10" hidden="1" x14ac:dyDescent="0.25">
      <c r="A1758" t="s">
        <v>443</v>
      </c>
      <c r="B1758" t="s">
        <v>88</v>
      </c>
      <c r="C1758" s="1">
        <v>45834</v>
      </c>
      <c r="D1758" t="s">
        <v>826</v>
      </c>
      <c r="E1758" t="s">
        <v>92</v>
      </c>
      <c r="F1758" t="s">
        <v>91</v>
      </c>
      <c r="G1758" s="14">
        <v>8644.0400000000009</v>
      </c>
      <c r="H1758">
        <v>1205</v>
      </c>
      <c r="I1758">
        <v>7.17</v>
      </c>
      <c r="J1758">
        <v>8644.0400000000009</v>
      </c>
    </row>
    <row r="1759" spans="1:10" hidden="1" x14ac:dyDescent="0.25">
      <c r="A1759" t="s">
        <v>161</v>
      </c>
      <c r="B1759" t="s">
        <v>88</v>
      </c>
      <c r="C1759" s="1">
        <v>45833</v>
      </c>
      <c r="D1759" t="s">
        <v>624</v>
      </c>
      <c r="E1759" t="s">
        <v>136</v>
      </c>
      <c r="F1759" t="s">
        <v>15</v>
      </c>
      <c r="G1759" s="14">
        <v>6250112.9000000004</v>
      </c>
      <c r="H1759">
        <v>1205</v>
      </c>
      <c r="I1759">
        <v>5186.82</v>
      </c>
      <c r="J1759">
        <v>7562629.2000000002</v>
      </c>
    </row>
    <row r="1760" spans="1:10" hidden="1" x14ac:dyDescent="0.25">
      <c r="A1760" t="s">
        <v>679</v>
      </c>
      <c r="B1760" t="s">
        <v>88</v>
      </c>
      <c r="C1760" s="1">
        <v>45833</v>
      </c>
      <c r="D1760" t="s">
        <v>681</v>
      </c>
      <c r="E1760" t="s">
        <v>524</v>
      </c>
      <c r="F1760" t="s">
        <v>117</v>
      </c>
      <c r="G1760" s="14">
        <v>64462.81</v>
      </c>
      <c r="H1760">
        <v>1205</v>
      </c>
      <c r="I1760">
        <v>53.5</v>
      </c>
      <c r="J1760">
        <v>78000</v>
      </c>
    </row>
    <row r="1761" spans="1:10" hidden="1" x14ac:dyDescent="0.25">
      <c r="A1761" t="s">
        <v>426</v>
      </c>
      <c r="B1761" t="s">
        <v>88</v>
      </c>
      <c r="C1761" s="1">
        <v>45833</v>
      </c>
      <c r="D1761" t="s">
        <v>807</v>
      </c>
      <c r="E1761" t="s">
        <v>136</v>
      </c>
      <c r="F1761" t="s">
        <v>15</v>
      </c>
      <c r="G1761" s="14">
        <v>1100256.3999999999</v>
      </c>
      <c r="H1761">
        <v>1205</v>
      </c>
      <c r="I1761">
        <v>913.08</v>
      </c>
      <c r="J1761">
        <v>1331310.24</v>
      </c>
    </row>
    <row r="1762" spans="1:10" hidden="1" x14ac:dyDescent="0.25">
      <c r="A1762" t="s">
        <v>246</v>
      </c>
      <c r="B1762" t="s">
        <v>88</v>
      </c>
      <c r="C1762" s="1">
        <v>45832</v>
      </c>
      <c r="D1762" t="s">
        <v>674</v>
      </c>
      <c r="E1762" t="s">
        <v>114</v>
      </c>
      <c r="F1762" t="s">
        <v>117</v>
      </c>
      <c r="G1762" s="14">
        <v>7279.87</v>
      </c>
      <c r="H1762">
        <v>1195</v>
      </c>
      <c r="I1762">
        <v>6.09</v>
      </c>
      <c r="J1762">
        <v>8808.64</v>
      </c>
    </row>
    <row r="1763" spans="1:10" hidden="1" x14ac:dyDescent="0.25">
      <c r="A1763" t="s">
        <v>336</v>
      </c>
      <c r="B1763" t="s">
        <v>88</v>
      </c>
      <c r="C1763" s="1">
        <v>45832</v>
      </c>
      <c r="D1763" t="s">
        <v>724</v>
      </c>
      <c r="E1763" t="s">
        <v>205</v>
      </c>
      <c r="F1763" t="s">
        <v>103</v>
      </c>
      <c r="G1763" s="14">
        <v>100500</v>
      </c>
      <c r="H1763">
        <v>1195</v>
      </c>
      <c r="I1763">
        <v>84.1</v>
      </c>
      <c r="J1763">
        <v>121605</v>
      </c>
    </row>
    <row r="1764" spans="1:10" hidden="1" x14ac:dyDescent="0.25">
      <c r="A1764" t="s">
        <v>361</v>
      </c>
      <c r="B1764" t="s">
        <v>88</v>
      </c>
      <c r="C1764" s="1">
        <v>45832</v>
      </c>
      <c r="D1764" t="s">
        <v>742</v>
      </c>
      <c r="E1764" t="s">
        <v>136</v>
      </c>
      <c r="F1764" t="s">
        <v>12</v>
      </c>
      <c r="G1764" s="14">
        <v>31140.23</v>
      </c>
      <c r="H1764">
        <v>1195</v>
      </c>
      <c r="I1764">
        <v>26.06</v>
      </c>
      <c r="J1764">
        <v>37679.68</v>
      </c>
    </row>
    <row r="1765" spans="1:10" hidden="1" x14ac:dyDescent="0.25">
      <c r="A1765" t="s">
        <v>453</v>
      </c>
      <c r="B1765" t="s">
        <v>88</v>
      </c>
      <c r="C1765" s="1">
        <v>45832</v>
      </c>
      <c r="D1765" t="s">
        <v>829</v>
      </c>
      <c r="E1765" t="s">
        <v>136</v>
      </c>
      <c r="F1765" t="s">
        <v>135</v>
      </c>
      <c r="G1765" s="14">
        <v>33940.86</v>
      </c>
      <c r="H1765">
        <v>1195</v>
      </c>
      <c r="I1765">
        <v>28.4</v>
      </c>
      <c r="J1765">
        <v>41068.44</v>
      </c>
    </row>
    <row r="1766" spans="1:10" hidden="1" x14ac:dyDescent="0.25">
      <c r="A1766" t="s">
        <v>453</v>
      </c>
      <c r="B1766" t="s">
        <v>88</v>
      </c>
      <c r="C1766" s="1">
        <v>45832</v>
      </c>
      <c r="D1766" t="s">
        <v>829</v>
      </c>
      <c r="E1766" t="s">
        <v>136</v>
      </c>
      <c r="F1766" t="s">
        <v>15</v>
      </c>
      <c r="G1766" s="14">
        <v>79195.34</v>
      </c>
      <c r="H1766">
        <v>1195</v>
      </c>
      <c r="I1766">
        <v>66.27</v>
      </c>
      <c r="J1766">
        <v>95826.36</v>
      </c>
    </row>
    <row r="1767" spans="1:10" hidden="1" x14ac:dyDescent="0.25">
      <c r="A1767" t="s">
        <v>871</v>
      </c>
      <c r="B1767" t="s">
        <v>88</v>
      </c>
      <c r="C1767" s="1">
        <v>45832</v>
      </c>
      <c r="D1767" t="s">
        <v>872</v>
      </c>
      <c r="E1767" t="s">
        <v>136</v>
      </c>
      <c r="F1767" t="s">
        <v>15</v>
      </c>
      <c r="G1767" s="14">
        <v>1139734.3</v>
      </c>
      <c r="H1767">
        <v>1195</v>
      </c>
      <c r="I1767">
        <v>953.75</v>
      </c>
      <c r="J1767">
        <v>1379078.5</v>
      </c>
    </row>
    <row r="1768" spans="1:10" hidden="1" x14ac:dyDescent="0.25">
      <c r="A1768" t="s">
        <v>400</v>
      </c>
      <c r="B1768" t="s">
        <v>88</v>
      </c>
      <c r="C1768" s="1">
        <v>45831</v>
      </c>
      <c r="D1768" t="s">
        <v>771</v>
      </c>
      <c r="E1768" t="s">
        <v>184</v>
      </c>
      <c r="F1768" t="s">
        <v>15</v>
      </c>
      <c r="G1768" s="14">
        <v>78794.720000000001</v>
      </c>
      <c r="H1768">
        <v>1185</v>
      </c>
      <c r="I1768">
        <v>66.489999999999995</v>
      </c>
      <c r="J1768">
        <v>95341.61</v>
      </c>
    </row>
    <row r="1769" spans="1:10" hidden="1" x14ac:dyDescent="0.25">
      <c r="A1769" t="s">
        <v>512</v>
      </c>
      <c r="B1769" t="s">
        <v>88</v>
      </c>
      <c r="C1769" s="1">
        <v>45827</v>
      </c>
      <c r="D1769" t="s">
        <v>889</v>
      </c>
      <c r="E1769" t="s">
        <v>136</v>
      </c>
      <c r="F1769" t="s">
        <v>15</v>
      </c>
      <c r="G1769" s="14">
        <v>2308597.2000000002</v>
      </c>
      <c r="H1769">
        <v>1180</v>
      </c>
      <c r="I1769">
        <v>1956.44</v>
      </c>
      <c r="J1769">
        <v>2793402.61</v>
      </c>
    </row>
    <row r="1770" spans="1:10" hidden="1" x14ac:dyDescent="0.25">
      <c r="A1770" t="s">
        <v>840</v>
      </c>
      <c r="B1770" t="s">
        <v>88</v>
      </c>
      <c r="C1770" s="1">
        <v>45826</v>
      </c>
      <c r="D1770" t="s">
        <v>841</v>
      </c>
      <c r="E1770" t="s">
        <v>136</v>
      </c>
      <c r="F1770" t="s">
        <v>12</v>
      </c>
      <c r="G1770" s="14">
        <v>40507.199999999997</v>
      </c>
      <c r="H1770">
        <v>1160</v>
      </c>
      <c r="I1770">
        <v>34.92</v>
      </c>
      <c r="J1770">
        <v>49010</v>
      </c>
    </row>
    <row r="1771" spans="1:10" hidden="1" x14ac:dyDescent="0.25">
      <c r="A1771" t="s">
        <v>510</v>
      </c>
      <c r="B1771" t="s">
        <v>96</v>
      </c>
      <c r="C1771" s="1">
        <v>45826</v>
      </c>
      <c r="D1771" t="s">
        <v>879</v>
      </c>
      <c r="E1771" t="s">
        <v>127</v>
      </c>
      <c r="F1771" t="s">
        <v>117</v>
      </c>
      <c r="G1771" s="14">
        <v>212.28</v>
      </c>
      <c r="H1771">
        <v>1160</v>
      </c>
      <c r="I1771">
        <v>0.18</v>
      </c>
      <c r="J1771">
        <v>212.28</v>
      </c>
    </row>
    <row r="1772" spans="1:10" hidden="1" x14ac:dyDescent="0.25">
      <c r="A1772" t="s">
        <v>679</v>
      </c>
      <c r="B1772" t="s">
        <v>88</v>
      </c>
      <c r="C1772" s="1">
        <v>45825</v>
      </c>
      <c r="D1772" t="s">
        <v>680</v>
      </c>
      <c r="E1772" t="s">
        <v>524</v>
      </c>
      <c r="F1772" t="s">
        <v>117</v>
      </c>
      <c r="G1772" s="14">
        <v>64462.81</v>
      </c>
      <c r="H1772">
        <v>1185</v>
      </c>
      <c r="I1772">
        <v>54.4</v>
      </c>
      <c r="J1772">
        <v>78000</v>
      </c>
    </row>
    <row r="1773" spans="1:10" hidden="1" x14ac:dyDescent="0.25">
      <c r="A1773" t="s">
        <v>811</v>
      </c>
      <c r="B1773" t="s">
        <v>88</v>
      </c>
      <c r="C1773" s="1">
        <v>45825</v>
      </c>
      <c r="D1773" t="s">
        <v>812</v>
      </c>
      <c r="E1773" t="s">
        <v>524</v>
      </c>
      <c r="F1773" t="s">
        <v>109</v>
      </c>
      <c r="G1773" s="14">
        <v>27500</v>
      </c>
      <c r="H1773">
        <v>1185</v>
      </c>
      <c r="I1773">
        <v>23.21</v>
      </c>
      <c r="J1773">
        <v>33275</v>
      </c>
    </row>
    <row r="1774" spans="1:10" hidden="1" x14ac:dyDescent="0.25">
      <c r="A1774" t="s">
        <v>112</v>
      </c>
      <c r="B1774" t="s">
        <v>88</v>
      </c>
      <c r="C1774" s="1">
        <v>45824</v>
      </c>
      <c r="D1774" t="s">
        <v>593</v>
      </c>
      <c r="E1774" t="s">
        <v>114</v>
      </c>
      <c r="F1774" t="s">
        <v>117</v>
      </c>
      <c r="G1774" s="14">
        <v>5777.69</v>
      </c>
      <c r="H1774">
        <v>1200</v>
      </c>
      <c r="I1774">
        <v>4.8099999999999996</v>
      </c>
      <c r="J1774">
        <v>6991.01</v>
      </c>
    </row>
    <row r="1775" spans="1:10" hidden="1" x14ac:dyDescent="0.25">
      <c r="A1775" t="s">
        <v>353</v>
      </c>
      <c r="B1775" t="s">
        <v>88</v>
      </c>
      <c r="C1775" s="1">
        <v>45824</v>
      </c>
      <c r="D1775" t="s">
        <v>738</v>
      </c>
      <c r="E1775" t="s">
        <v>114</v>
      </c>
      <c r="F1775" t="s">
        <v>117</v>
      </c>
      <c r="G1775" s="14">
        <v>577.76</v>
      </c>
      <c r="H1775">
        <v>1200</v>
      </c>
      <c r="I1775">
        <v>0.48</v>
      </c>
      <c r="J1775">
        <v>699.09</v>
      </c>
    </row>
    <row r="1776" spans="1:10" hidden="1" x14ac:dyDescent="0.25">
      <c r="A1776" t="s">
        <v>125</v>
      </c>
      <c r="B1776" t="s">
        <v>88</v>
      </c>
      <c r="C1776" s="1">
        <v>45823</v>
      </c>
      <c r="D1776" t="s">
        <v>596</v>
      </c>
      <c r="E1776" t="s">
        <v>114</v>
      </c>
      <c r="F1776" t="s">
        <v>117</v>
      </c>
      <c r="G1776" s="14">
        <v>8072.1</v>
      </c>
      <c r="H1776">
        <v>1200</v>
      </c>
      <c r="I1776">
        <v>6.73</v>
      </c>
      <c r="J1776">
        <v>9767.24</v>
      </c>
    </row>
    <row r="1777" spans="1:10" hidden="1" x14ac:dyDescent="0.25">
      <c r="A1777" t="s">
        <v>125</v>
      </c>
      <c r="B1777" t="s">
        <v>88</v>
      </c>
      <c r="C1777" s="1">
        <v>45823</v>
      </c>
      <c r="D1777" t="s">
        <v>596</v>
      </c>
      <c r="E1777" t="s">
        <v>127</v>
      </c>
      <c r="F1777" t="s">
        <v>117</v>
      </c>
      <c r="G1777" s="14">
        <v>807.25</v>
      </c>
      <c r="H1777">
        <v>1200</v>
      </c>
      <c r="I1777">
        <v>0.67</v>
      </c>
      <c r="J1777">
        <v>807.25</v>
      </c>
    </row>
    <row r="1778" spans="1:10" hidden="1" x14ac:dyDescent="0.25">
      <c r="A1778" t="s">
        <v>246</v>
      </c>
      <c r="B1778" t="s">
        <v>88</v>
      </c>
      <c r="C1778" s="1">
        <v>45822</v>
      </c>
      <c r="D1778" t="s">
        <v>670</v>
      </c>
      <c r="E1778" t="s">
        <v>114</v>
      </c>
      <c r="F1778" t="s">
        <v>117</v>
      </c>
      <c r="G1778" s="14">
        <v>13519.76</v>
      </c>
      <c r="H1778">
        <v>1200</v>
      </c>
      <c r="I1778">
        <v>11.27</v>
      </c>
      <c r="J1778">
        <v>16358.93</v>
      </c>
    </row>
    <row r="1779" spans="1:10" hidden="1" x14ac:dyDescent="0.25">
      <c r="A1779" t="s">
        <v>246</v>
      </c>
      <c r="B1779" t="s">
        <v>88</v>
      </c>
      <c r="C1779" s="1">
        <v>45822</v>
      </c>
      <c r="D1779" t="s">
        <v>671</v>
      </c>
      <c r="E1779" t="s">
        <v>114</v>
      </c>
      <c r="F1779" t="s">
        <v>117</v>
      </c>
      <c r="G1779" s="14">
        <v>1039.98</v>
      </c>
      <c r="H1779">
        <v>1200</v>
      </c>
      <c r="I1779">
        <v>0.87</v>
      </c>
      <c r="J1779">
        <v>1258.3800000000001</v>
      </c>
    </row>
    <row r="1780" spans="1:10" hidden="1" x14ac:dyDescent="0.25">
      <c r="A1780" t="s">
        <v>504</v>
      </c>
      <c r="B1780" t="s">
        <v>88</v>
      </c>
      <c r="C1780" s="1">
        <v>45822</v>
      </c>
      <c r="D1780" t="s">
        <v>875</v>
      </c>
      <c r="E1780" t="s">
        <v>147</v>
      </c>
      <c r="F1780" t="s">
        <v>109</v>
      </c>
      <c r="G1780" s="14">
        <v>12374.48</v>
      </c>
      <c r="H1780">
        <v>1200</v>
      </c>
      <c r="I1780">
        <v>10.31</v>
      </c>
      <c r="J1780">
        <v>12374.48</v>
      </c>
    </row>
    <row r="1781" spans="1:10" hidden="1" x14ac:dyDescent="0.25">
      <c r="A1781" t="s">
        <v>504</v>
      </c>
      <c r="B1781" t="s">
        <v>88</v>
      </c>
      <c r="C1781" s="1">
        <v>45822</v>
      </c>
      <c r="D1781" t="s">
        <v>875</v>
      </c>
      <c r="E1781" t="s">
        <v>506</v>
      </c>
      <c r="F1781" t="s">
        <v>109</v>
      </c>
      <c r="G1781" s="14">
        <v>244935.79</v>
      </c>
      <c r="H1781">
        <v>1200</v>
      </c>
      <c r="I1781">
        <v>204.11</v>
      </c>
      <c r="J1781">
        <v>311068.45</v>
      </c>
    </row>
    <row r="1782" spans="1:10" hidden="1" x14ac:dyDescent="0.25">
      <c r="A1782" t="s">
        <v>515</v>
      </c>
      <c r="B1782" t="s">
        <v>88</v>
      </c>
      <c r="C1782" s="1">
        <v>45822</v>
      </c>
      <c r="D1782" t="s">
        <v>895</v>
      </c>
      <c r="E1782" t="s">
        <v>184</v>
      </c>
      <c r="F1782" t="s">
        <v>12</v>
      </c>
      <c r="G1782" s="14">
        <v>31631</v>
      </c>
      <c r="H1782">
        <v>1200</v>
      </c>
      <c r="I1782">
        <v>26.36</v>
      </c>
      <c r="J1782">
        <v>38273.51</v>
      </c>
    </row>
    <row r="1783" spans="1:10" hidden="1" x14ac:dyDescent="0.25">
      <c r="A1783" t="s">
        <v>581</v>
      </c>
      <c r="B1783" t="s">
        <v>88</v>
      </c>
      <c r="C1783" s="1">
        <v>45821</v>
      </c>
      <c r="D1783" t="s">
        <v>583</v>
      </c>
      <c r="E1783" t="s">
        <v>205</v>
      </c>
      <c r="F1783" t="s">
        <v>117</v>
      </c>
      <c r="G1783" s="14">
        <v>52449.01</v>
      </c>
      <c r="H1783">
        <v>1200</v>
      </c>
      <c r="I1783">
        <v>43.71</v>
      </c>
      <c r="J1783">
        <v>63463.3</v>
      </c>
    </row>
    <row r="1784" spans="1:10" hidden="1" x14ac:dyDescent="0.25">
      <c r="A1784" t="s">
        <v>581</v>
      </c>
      <c r="B1784" t="s">
        <v>88</v>
      </c>
      <c r="C1784" s="1">
        <v>45821</v>
      </c>
      <c r="D1784" t="s">
        <v>583</v>
      </c>
      <c r="E1784" t="s">
        <v>102</v>
      </c>
      <c r="F1784" t="s">
        <v>117</v>
      </c>
      <c r="G1784" s="14">
        <v>262.25</v>
      </c>
      <c r="H1784">
        <v>1200</v>
      </c>
      <c r="I1784">
        <v>0.22</v>
      </c>
      <c r="J1784">
        <v>262.25</v>
      </c>
    </row>
    <row r="1785" spans="1:10" hidden="1" x14ac:dyDescent="0.25">
      <c r="A1785" t="s">
        <v>443</v>
      </c>
      <c r="B1785" t="s">
        <v>88</v>
      </c>
      <c r="C1785" s="1">
        <v>45821</v>
      </c>
      <c r="D1785" t="s">
        <v>822</v>
      </c>
      <c r="E1785" t="s">
        <v>90</v>
      </c>
      <c r="F1785" t="s">
        <v>117</v>
      </c>
      <c r="G1785" s="14">
        <v>5454.55</v>
      </c>
      <c r="H1785">
        <v>1200</v>
      </c>
      <c r="I1785">
        <v>4.55</v>
      </c>
      <c r="J1785">
        <v>6600</v>
      </c>
    </row>
    <row r="1786" spans="1:10" hidden="1" x14ac:dyDescent="0.25">
      <c r="A1786" t="s">
        <v>497</v>
      </c>
      <c r="B1786" t="s">
        <v>88</v>
      </c>
      <c r="C1786" s="1">
        <v>45821</v>
      </c>
      <c r="D1786" t="s">
        <v>860</v>
      </c>
      <c r="E1786" t="s">
        <v>136</v>
      </c>
      <c r="F1786" t="s">
        <v>621</v>
      </c>
      <c r="G1786" s="14">
        <v>161460</v>
      </c>
      <c r="H1786">
        <v>1200</v>
      </c>
      <c r="I1786">
        <v>134.55000000000001</v>
      </c>
      <c r="J1786">
        <v>195366.6</v>
      </c>
    </row>
    <row r="1787" spans="1:10" hidden="1" x14ac:dyDescent="0.25">
      <c r="A1787" t="s">
        <v>533</v>
      </c>
      <c r="B1787" t="s">
        <v>88</v>
      </c>
      <c r="C1787" s="1">
        <v>45821</v>
      </c>
      <c r="D1787" t="s">
        <v>919</v>
      </c>
      <c r="E1787" t="s">
        <v>90</v>
      </c>
      <c r="F1787" t="s">
        <v>117</v>
      </c>
      <c r="G1787" s="14">
        <v>19691.02</v>
      </c>
      <c r="H1787">
        <v>1200</v>
      </c>
      <c r="I1787">
        <v>16.41</v>
      </c>
      <c r="J1787">
        <v>23826.12</v>
      </c>
    </row>
    <row r="1788" spans="1:10" hidden="1" x14ac:dyDescent="0.25">
      <c r="A1788" t="s">
        <v>533</v>
      </c>
      <c r="B1788" t="s">
        <v>88</v>
      </c>
      <c r="C1788" s="1">
        <v>45821</v>
      </c>
      <c r="D1788" t="s">
        <v>919</v>
      </c>
      <c r="E1788" t="s">
        <v>92</v>
      </c>
      <c r="F1788" t="s">
        <v>117</v>
      </c>
      <c r="G1788" s="14">
        <v>573.88</v>
      </c>
      <c r="H1788">
        <v>1200</v>
      </c>
      <c r="I1788">
        <v>0.48</v>
      </c>
      <c r="J1788">
        <v>573.88</v>
      </c>
    </row>
    <row r="1789" spans="1:10" hidden="1" x14ac:dyDescent="0.25">
      <c r="A1789" t="s">
        <v>533</v>
      </c>
      <c r="B1789" t="s">
        <v>88</v>
      </c>
      <c r="C1789" s="1">
        <v>45821</v>
      </c>
      <c r="D1789" t="s">
        <v>920</v>
      </c>
      <c r="E1789" t="s">
        <v>90</v>
      </c>
      <c r="F1789" t="s">
        <v>91</v>
      </c>
      <c r="G1789" s="14">
        <v>43333.69</v>
      </c>
      <c r="H1789">
        <v>1200</v>
      </c>
      <c r="I1789">
        <v>36.11</v>
      </c>
      <c r="J1789">
        <v>52433.77</v>
      </c>
    </row>
    <row r="1790" spans="1:10" hidden="1" x14ac:dyDescent="0.25">
      <c r="A1790" t="s">
        <v>533</v>
      </c>
      <c r="B1790" t="s">
        <v>88</v>
      </c>
      <c r="C1790" s="1">
        <v>45821</v>
      </c>
      <c r="D1790" t="s">
        <v>920</v>
      </c>
      <c r="E1790" t="s">
        <v>92</v>
      </c>
      <c r="F1790" t="s">
        <v>91</v>
      </c>
      <c r="G1790" s="14">
        <v>8572.19</v>
      </c>
      <c r="H1790">
        <v>1200</v>
      </c>
      <c r="I1790">
        <v>7.14</v>
      </c>
      <c r="J1790">
        <v>8572.19</v>
      </c>
    </row>
    <row r="1791" spans="1:10" hidden="1" x14ac:dyDescent="0.25">
      <c r="A1791" t="s">
        <v>552</v>
      </c>
      <c r="B1791" t="s">
        <v>88</v>
      </c>
      <c r="C1791" s="1">
        <v>45821</v>
      </c>
      <c r="D1791" t="s">
        <v>928</v>
      </c>
      <c r="E1791" t="s">
        <v>136</v>
      </c>
      <c r="F1791" t="s">
        <v>621</v>
      </c>
      <c r="G1791" s="14">
        <v>98282</v>
      </c>
      <c r="H1791">
        <v>1200</v>
      </c>
      <c r="I1791">
        <v>81.900000000000006</v>
      </c>
      <c r="J1791">
        <v>118921.22</v>
      </c>
    </row>
    <row r="1792" spans="1:10" hidden="1" x14ac:dyDescent="0.25">
      <c r="A1792" t="s">
        <v>615</v>
      </c>
      <c r="B1792" t="s">
        <v>96</v>
      </c>
      <c r="C1792" s="1">
        <v>45820</v>
      </c>
      <c r="D1792" t="s">
        <v>616</v>
      </c>
      <c r="E1792" t="s">
        <v>617</v>
      </c>
      <c r="G1792" s="14">
        <v>926616.07</v>
      </c>
      <c r="H1792">
        <v>1200</v>
      </c>
      <c r="I1792">
        <v>772.18</v>
      </c>
      <c r="J1792">
        <v>926616.07</v>
      </c>
    </row>
    <row r="1793" spans="1:10" hidden="1" x14ac:dyDescent="0.25">
      <c r="A1793" t="s">
        <v>729</v>
      </c>
      <c r="B1793" t="s">
        <v>88</v>
      </c>
      <c r="C1793" s="1">
        <v>45820</v>
      </c>
      <c r="D1793" t="s">
        <v>730</v>
      </c>
      <c r="E1793" t="s">
        <v>731</v>
      </c>
      <c r="F1793" t="s">
        <v>117</v>
      </c>
      <c r="G1793" s="14">
        <v>28925.62</v>
      </c>
      <c r="H1793">
        <v>1200</v>
      </c>
      <c r="I1793">
        <v>24.1</v>
      </c>
      <c r="J1793">
        <v>35000</v>
      </c>
    </row>
    <row r="1794" spans="1:10" hidden="1" x14ac:dyDescent="0.25">
      <c r="A1794" t="s">
        <v>405</v>
      </c>
      <c r="B1794" t="s">
        <v>88</v>
      </c>
      <c r="C1794" s="1">
        <v>45820</v>
      </c>
      <c r="D1794" t="s">
        <v>777</v>
      </c>
      <c r="E1794" t="s">
        <v>218</v>
      </c>
      <c r="F1794" t="s">
        <v>117</v>
      </c>
      <c r="G1794" s="14">
        <v>17829.740000000002</v>
      </c>
      <c r="H1794">
        <v>1200</v>
      </c>
      <c r="I1794">
        <v>14.86</v>
      </c>
      <c r="J1794">
        <v>21573.98</v>
      </c>
    </row>
    <row r="1795" spans="1:10" hidden="1" x14ac:dyDescent="0.25">
      <c r="A1795" t="s">
        <v>426</v>
      </c>
      <c r="B1795" t="s">
        <v>88</v>
      </c>
      <c r="C1795" s="1">
        <v>45820</v>
      </c>
      <c r="D1795" t="s">
        <v>804</v>
      </c>
      <c r="E1795" t="s">
        <v>136</v>
      </c>
      <c r="F1795" t="s">
        <v>12</v>
      </c>
      <c r="G1795" s="14">
        <v>233481.69</v>
      </c>
      <c r="H1795">
        <v>1200</v>
      </c>
      <c r="I1795">
        <v>194.57</v>
      </c>
      <c r="J1795">
        <v>282512.84999999998</v>
      </c>
    </row>
    <row r="1796" spans="1:10" hidden="1" x14ac:dyDescent="0.25">
      <c r="A1796" t="s">
        <v>443</v>
      </c>
      <c r="B1796" t="s">
        <v>88</v>
      </c>
      <c r="C1796" s="1">
        <v>45820</v>
      </c>
      <c r="D1796" t="s">
        <v>821</v>
      </c>
      <c r="E1796" t="s">
        <v>90</v>
      </c>
      <c r="F1796" t="s">
        <v>117</v>
      </c>
      <c r="G1796" s="14">
        <v>6756.4</v>
      </c>
      <c r="H1796">
        <v>1200</v>
      </c>
      <c r="I1796">
        <v>5.63</v>
      </c>
      <c r="J1796">
        <v>8175.25</v>
      </c>
    </row>
    <row r="1797" spans="1:10" hidden="1" x14ac:dyDescent="0.25">
      <c r="A1797" t="s">
        <v>443</v>
      </c>
      <c r="B1797" t="s">
        <v>88</v>
      </c>
      <c r="C1797" s="1">
        <v>45820</v>
      </c>
      <c r="D1797" t="s">
        <v>821</v>
      </c>
      <c r="E1797" t="s">
        <v>92</v>
      </c>
      <c r="F1797" t="s">
        <v>117</v>
      </c>
      <c r="G1797" s="14">
        <v>24.76</v>
      </c>
      <c r="H1797">
        <v>1200</v>
      </c>
      <c r="I1797">
        <v>0.02</v>
      </c>
      <c r="J1797">
        <v>24.76</v>
      </c>
    </row>
    <row r="1798" spans="1:10" hidden="1" x14ac:dyDescent="0.25">
      <c r="A1798" t="s">
        <v>515</v>
      </c>
      <c r="B1798" t="s">
        <v>88</v>
      </c>
      <c r="C1798" s="1">
        <v>45820</v>
      </c>
      <c r="D1798" t="s">
        <v>894</v>
      </c>
      <c r="E1798" t="s">
        <v>184</v>
      </c>
      <c r="F1798" t="s">
        <v>621</v>
      </c>
      <c r="G1798" s="14">
        <v>24802</v>
      </c>
      <c r="H1798">
        <v>1200</v>
      </c>
      <c r="I1798">
        <v>20.67</v>
      </c>
      <c r="J1798">
        <v>30010.42</v>
      </c>
    </row>
    <row r="1799" spans="1:10" hidden="1" x14ac:dyDescent="0.25">
      <c r="A1799" t="s">
        <v>552</v>
      </c>
      <c r="B1799" t="s">
        <v>88</v>
      </c>
      <c r="C1799" s="1">
        <v>45820</v>
      </c>
      <c r="D1799" t="s">
        <v>927</v>
      </c>
      <c r="E1799" t="s">
        <v>136</v>
      </c>
      <c r="F1799" t="s">
        <v>12</v>
      </c>
      <c r="G1799" s="14">
        <v>329205.90000000002</v>
      </c>
      <c r="H1799">
        <v>1200</v>
      </c>
      <c r="I1799">
        <v>274.33999999999997</v>
      </c>
      <c r="J1799">
        <v>398339.14</v>
      </c>
    </row>
    <row r="1800" spans="1:10" hidden="1" x14ac:dyDescent="0.25">
      <c r="A1800" t="s">
        <v>584</v>
      </c>
      <c r="B1800" t="s">
        <v>88</v>
      </c>
      <c r="C1800" s="1">
        <v>45819</v>
      </c>
      <c r="D1800" t="s">
        <v>585</v>
      </c>
      <c r="E1800" t="s">
        <v>218</v>
      </c>
      <c r="F1800" t="s">
        <v>117</v>
      </c>
      <c r="G1800" s="14">
        <v>12561.98</v>
      </c>
      <c r="H1800">
        <v>1200</v>
      </c>
      <c r="I1800">
        <v>10.47</v>
      </c>
      <c r="J1800">
        <v>15200</v>
      </c>
    </row>
    <row r="1801" spans="1:10" hidden="1" x14ac:dyDescent="0.25">
      <c r="A1801" t="s">
        <v>161</v>
      </c>
      <c r="B1801" t="s">
        <v>88</v>
      </c>
      <c r="C1801" s="1">
        <v>45819</v>
      </c>
      <c r="D1801" t="s">
        <v>622</v>
      </c>
      <c r="E1801" t="s">
        <v>136</v>
      </c>
      <c r="F1801" t="s">
        <v>15</v>
      </c>
      <c r="G1801" s="14">
        <v>1034208</v>
      </c>
      <c r="H1801">
        <v>1200</v>
      </c>
      <c r="I1801">
        <v>861.84</v>
      </c>
      <c r="J1801">
        <v>1251384</v>
      </c>
    </row>
    <row r="1802" spans="1:10" hidden="1" x14ac:dyDescent="0.25">
      <c r="A1802" t="s">
        <v>216</v>
      </c>
      <c r="B1802" t="s">
        <v>88</v>
      </c>
      <c r="C1802" s="1">
        <v>45819</v>
      </c>
      <c r="D1802" t="s">
        <v>654</v>
      </c>
      <c r="E1802" t="s">
        <v>218</v>
      </c>
      <c r="F1802" t="s">
        <v>117</v>
      </c>
      <c r="G1802" s="14">
        <v>40495.870000000003</v>
      </c>
      <c r="H1802">
        <v>1200</v>
      </c>
      <c r="I1802">
        <v>33.75</v>
      </c>
      <c r="J1802">
        <v>49000</v>
      </c>
    </row>
    <row r="1803" spans="1:10" hidden="1" x14ac:dyDescent="0.25">
      <c r="A1803" t="s">
        <v>684</v>
      </c>
      <c r="B1803" t="s">
        <v>88</v>
      </c>
      <c r="C1803" s="1">
        <v>45819</v>
      </c>
      <c r="D1803" t="s">
        <v>685</v>
      </c>
      <c r="E1803" t="s">
        <v>686</v>
      </c>
      <c r="F1803" t="s">
        <v>117</v>
      </c>
      <c r="G1803" s="14">
        <v>200000</v>
      </c>
      <c r="H1803">
        <v>1200</v>
      </c>
      <c r="I1803">
        <v>166.67</v>
      </c>
      <c r="J1803">
        <v>200000</v>
      </c>
    </row>
    <row r="1804" spans="1:10" hidden="1" x14ac:dyDescent="0.25">
      <c r="A1804" t="s">
        <v>361</v>
      </c>
      <c r="B1804" t="s">
        <v>88</v>
      </c>
      <c r="C1804" s="1">
        <v>45819</v>
      </c>
      <c r="D1804" t="s">
        <v>739</v>
      </c>
      <c r="E1804" t="s">
        <v>136</v>
      </c>
      <c r="F1804" t="s">
        <v>12</v>
      </c>
      <c r="G1804" s="14">
        <v>53055.02</v>
      </c>
      <c r="H1804">
        <v>1200</v>
      </c>
      <c r="I1804">
        <v>44.21</v>
      </c>
      <c r="J1804">
        <v>64196.57</v>
      </c>
    </row>
    <row r="1805" spans="1:10" hidden="1" x14ac:dyDescent="0.25">
      <c r="A1805" t="s">
        <v>577</v>
      </c>
      <c r="B1805" t="s">
        <v>88</v>
      </c>
      <c r="C1805" s="1">
        <v>45818</v>
      </c>
      <c r="D1805" t="s">
        <v>578</v>
      </c>
      <c r="E1805" t="s">
        <v>147</v>
      </c>
      <c r="F1805" t="s">
        <v>91</v>
      </c>
      <c r="G1805" s="14">
        <v>11778.96</v>
      </c>
      <c r="H1805">
        <v>1200</v>
      </c>
      <c r="I1805">
        <v>9.82</v>
      </c>
      <c r="J1805">
        <v>11778.96</v>
      </c>
    </row>
    <row r="1806" spans="1:10" hidden="1" x14ac:dyDescent="0.25">
      <c r="A1806" t="s">
        <v>577</v>
      </c>
      <c r="B1806" t="s">
        <v>88</v>
      </c>
      <c r="C1806" s="1">
        <v>45818</v>
      </c>
      <c r="D1806" t="s">
        <v>578</v>
      </c>
      <c r="E1806" t="s">
        <v>90</v>
      </c>
      <c r="F1806" t="s">
        <v>91</v>
      </c>
      <c r="G1806" s="14">
        <v>57215.3</v>
      </c>
      <c r="H1806">
        <v>1200</v>
      </c>
      <c r="I1806">
        <v>47.68</v>
      </c>
      <c r="J1806">
        <v>69230.52</v>
      </c>
    </row>
    <row r="1807" spans="1:10" hidden="1" x14ac:dyDescent="0.25">
      <c r="A1807" t="s">
        <v>149</v>
      </c>
      <c r="B1807" t="s">
        <v>279</v>
      </c>
      <c r="C1807" s="1">
        <v>45818</v>
      </c>
      <c r="D1807" t="s">
        <v>613</v>
      </c>
      <c r="E1807" t="s">
        <v>610</v>
      </c>
      <c r="F1807" t="s">
        <v>11</v>
      </c>
      <c r="G1807" s="14">
        <v>-79212</v>
      </c>
      <c r="H1807">
        <v>1200</v>
      </c>
      <c r="I1807">
        <v>-66.010000000000005</v>
      </c>
      <c r="J1807">
        <v>-95844</v>
      </c>
    </row>
    <row r="1808" spans="1:10" hidden="1" x14ac:dyDescent="0.25">
      <c r="A1808" t="s">
        <v>149</v>
      </c>
      <c r="B1808" t="s">
        <v>279</v>
      </c>
      <c r="C1808" s="1">
        <v>45818</v>
      </c>
      <c r="D1808" t="s">
        <v>613</v>
      </c>
      <c r="E1808" t="s">
        <v>611</v>
      </c>
      <c r="F1808" t="s">
        <v>11</v>
      </c>
      <c r="G1808" s="14">
        <v>-1752</v>
      </c>
      <c r="H1808">
        <v>1200</v>
      </c>
      <c r="I1808">
        <v>-1.46</v>
      </c>
      <c r="J1808">
        <v>-1752</v>
      </c>
    </row>
    <row r="1809" spans="1:10" hidden="1" x14ac:dyDescent="0.25">
      <c r="A1809" t="s">
        <v>756</v>
      </c>
      <c r="B1809" t="s">
        <v>96</v>
      </c>
      <c r="C1809" s="1">
        <v>45818</v>
      </c>
      <c r="D1809" t="s">
        <v>758</v>
      </c>
      <c r="E1809" t="s">
        <v>212</v>
      </c>
      <c r="F1809" t="s">
        <v>9</v>
      </c>
      <c r="G1809" s="14">
        <v>394848.7</v>
      </c>
      <c r="H1809">
        <v>1200</v>
      </c>
      <c r="I1809">
        <v>329.04</v>
      </c>
      <c r="J1809">
        <v>394848.7</v>
      </c>
    </row>
    <row r="1810" spans="1:10" hidden="1" x14ac:dyDescent="0.25">
      <c r="A1810" t="s">
        <v>405</v>
      </c>
      <c r="B1810" t="s">
        <v>88</v>
      </c>
      <c r="C1810" s="1">
        <v>45818</v>
      </c>
      <c r="D1810" t="s">
        <v>776</v>
      </c>
      <c r="E1810" t="s">
        <v>407</v>
      </c>
      <c r="F1810" t="s">
        <v>117</v>
      </c>
      <c r="G1810" s="14">
        <v>9359.7999999999993</v>
      </c>
      <c r="H1810">
        <v>1200</v>
      </c>
      <c r="I1810">
        <v>7.8</v>
      </c>
      <c r="J1810">
        <v>10342.58</v>
      </c>
    </row>
    <row r="1811" spans="1:10" hidden="1" x14ac:dyDescent="0.25">
      <c r="A1811" t="s">
        <v>405</v>
      </c>
      <c r="B1811" t="s">
        <v>88</v>
      </c>
      <c r="C1811" s="1">
        <v>45818</v>
      </c>
      <c r="D1811" t="s">
        <v>776</v>
      </c>
      <c r="E1811" t="s">
        <v>218</v>
      </c>
      <c r="F1811" t="s">
        <v>117</v>
      </c>
      <c r="G1811" s="14">
        <v>27289.17</v>
      </c>
      <c r="H1811">
        <v>1200</v>
      </c>
      <c r="I1811">
        <v>22.74</v>
      </c>
      <c r="J1811">
        <v>33019.919999999998</v>
      </c>
    </row>
    <row r="1812" spans="1:10" hidden="1" x14ac:dyDescent="0.25">
      <c r="A1812" t="s">
        <v>791</v>
      </c>
      <c r="B1812" t="s">
        <v>96</v>
      </c>
      <c r="C1812" s="1">
        <v>45818</v>
      </c>
      <c r="D1812" t="s">
        <v>795</v>
      </c>
      <c r="E1812" t="s">
        <v>98</v>
      </c>
      <c r="F1812" t="s">
        <v>793</v>
      </c>
      <c r="G1812" s="14">
        <v>3030.62</v>
      </c>
      <c r="H1812">
        <v>1200</v>
      </c>
      <c r="I1812">
        <v>2.5299999999999998</v>
      </c>
      <c r="J1812">
        <v>3030.62</v>
      </c>
    </row>
    <row r="1813" spans="1:10" hidden="1" x14ac:dyDescent="0.25">
      <c r="A1813" t="s">
        <v>791</v>
      </c>
      <c r="B1813" t="s">
        <v>96</v>
      </c>
      <c r="C1813" s="1">
        <v>45818</v>
      </c>
      <c r="D1813" t="s">
        <v>758</v>
      </c>
      <c r="E1813" t="s">
        <v>98</v>
      </c>
      <c r="F1813" t="s">
        <v>551</v>
      </c>
      <c r="G1813" s="14">
        <v>29669.07</v>
      </c>
      <c r="H1813">
        <v>1200</v>
      </c>
      <c r="I1813">
        <v>24.72</v>
      </c>
      <c r="J1813">
        <v>29669.07</v>
      </c>
    </row>
    <row r="1814" spans="1:10" hidden="1" x14ac:dyDescent="0.25">
      <c r="A1814" t="s">
        <v>426</v>
      </c>
      <c r="B1814" t="s">
        <v>88</v>
      </c>
      <c r="C1814" s="1">
        <v>45818</v>
      </c>
      <c r="D1814" t="s">
        <v>803</v>
      </c>
      <c r="E1814" t="s">
        <v>134</v>
      </c>
      <c r="F1814" t="s">
        <v>621</v>
      </c>
      <c r="G1814" s="14">
        <v>6095.6</v>
      </c>
      <c r="H1814">
        <v>1200</v>
      </c>
      <c r="I1814">
        <v>5.08</v>
      </c>
      <c r="J1814">
        <v>6735.64</v>
      </c>
    </row>
    <row r="1815" spans="1:10" hidden="1" x14ac:dyDescent="0.25">
      <c r="A1815" t="s">
        <v>426</v>
      </c>
      <c r="B1815" t="s">
        <v>88</v>
      </c>
      <c r="C1815" s="1">
        <v>45818</v>
      </c>
      <c r="D1815" t="s">
        <v>803</v>
      </c>
      <c r="E1815" t="s">
        <v>136</v>
      </c>
      <c r="F1815" t="s">
        <v>621</v>
      </c>
      <c r="G1815" s="14">
        <v>680026.52</v>
      </c>
      <c r="H1815">
        <v>1200</v>
      </c>
      <c r="I1815">
        <v>566.69000000000005</v>
      </c>
      <c r="J1815">
        <v>822832.09</v>
      </c>
    </row>
    <row r="1816" spans="1:10" hidden="1" x14ac:dyDescent="0.25">
      <c r="A1816" t="s">
        <v>497</v>
      </c>
      <c r="B1816" t="s">
        <v>88</v>
      </c>
      <c r="C1816" s="1">
        <v>45818</v>
      </c>
      <c r="D1816" t="s">
        <v>859</v>
      </c>
      <c r="E1816" t="s">
        <v>136</v>
      </c>
      <c r="F1816" t="s">
        <v>621</v>
      </c>
      <c r="G1816" s="14">
        <v>30953.45</v>
      </c>
      <c r="H1816">
        <v>1200</v>
      </c>
      <c r="I1816">
        <v>25.79</v>
      </c>
      <c r="J1816">
        <v>37453.67</v>
      </c>
    </row>
    <row r="1817" spans="1:10" hidden="1" x14ac:dyDescent="0.25">
      <c r="A1817" t="s">
        <v>515</v>
      </c>
      <c r="B1817" t="s">
        <v>88</v>
      </c>
      <c r="C1817" s="1">
        <v>45818</v>
      </c>
      <c r="D1817" t="s">
        <v>893</v>
      </c>
      <c r="E1817" t="s">
        <v>184</v>
      </c>
      <c r="F1817" t="s">
        <v>621</v>
      </c>
      <c r="G1817" s="14">
        <v>10294</v>
      </c>
      <c r="H1817">
        <v>1200</v>
      </c>
      <c r="I1817">
        <v>8.58</v>
      </c>
      <c r="J1817">
        <v>12455.74</v>
      </c>
    </row>
    <row r="1818" spans="1:10" hidden="1" x14ac:dyDescent="0.25">
      <c r="A1818" t="s">
        <v>149</v>
      </c>
      <c r="B1818" t="s">
        <v>88</v>
      </c>
      <c r="C1818" s="1">
        <v>45817</v>
      </c>
      <c r="D1818" t="s">
        <v>612</v>
      </c>
      <c r="E1818" t="s">
        <v>152</v>
      </c>
      <c r="F1818" t="s">
        <v>475</v>
      </c>
      <c r="G1818" s="14">
        <v>52670.55</v>
      </c>
      <c r="H1818">
        <v>1200</v>
      </c>
      <c r="I1818">
        <v>43.89</v>
      </c>
      <c r="J1818">
        <v>63732.45</v>
      </c>
    </row>
    <row r="1819" spans="1:10" hidden="1" x14ac:dyDescent="0.25">
      <c r="A1819" t="s">
        <v>149</v>
      </c>
      <c r="B1819" t="s">
        <v>88</v>
      </c>
      <c r="C1819" s="1">
        <v>45817</v>
      </c>
      <c r="D1819" t="s">
        <v>612</v>
      </c>
      <c r="E1819" t="s">
        <v>153</v>
      </c>
      <c r="F1819" t="s">
        <v>475</v>
      </c>
      <c r="G1819" s="14">
        <v>1421.9</v>
      </c>
      <c r="H1819">
        <v>1200</v>
      </c>
      <c r="I1819">
        <v>1.18</v>
      </c>
      <c r="J1819">
        <v>1421.9</v>
      </c>
    </row>
    <row r="1820" spans="1:10" hidden="1" x14ac:dyDescent="0.25">
      <c r="A1820" t="s">
        <v>533</v>
      </c>
      <c r="B1820" t="s">
        <v>88</v>
      </c>
      <c r="C1820" s="1">
        <v>45817</v>
      </c>
      <c r="D1820" t="s">
        <v>916</v>
      </c>
      <c r="E1820" t="s">
        <v>90</v>
      </c>
      <c r="F1820" t="s">
        <v>117</v>
      </c>
      <c r="G1820" s="14">
        <v>8286.0499999999993</v>
      </c>
      <c r="H1820">
        <v>1200</v>
      </c>
      <c r="I1820">
        <v>6.91</v>
      </c>
      <c r="J1820">
        <v>10026.129999999999</v>
      </c>
    </row>
    <row r="1821" spans="1:10" hidden="1" x14ac:dyDescent="0.25">
      <c r="A1821" t="s">
        <v>533</v>
      </c>
      <c r="B1821" t="s">
        <v>88</v>
      </c>
      <c r="C1821" s="1">
        <v>45817</v>
      </c>
      <c r="D1821" t="s">
        <v>916</v>
      </c>
      <c r="E1821" t="s">
        <v>92</v>
      </c>
      <c r="F1821" t="s">
        <v>117</v>
      </c>
      <c r="G1821" s="14">
        <v>73.88</v>
      </c>
      <c r="H1821">
        <v>1200</v>
      </c>
      <c r="I1821">
        <v>0.06</v>
      </c>
      <c r="J1821">
        <v>73.88</v>
      </c>
    </row>
    <row r="1822" spans="1:10" hidden="1" x14ac:dyDescent="0.25">
      <c r="A1822" t="s">
        <v>850</v>
      </c>
      <c r="B1822" t="s">
        <v>88</v>
      </c>
      <c r="C1822" s="1">
        <v>45815</v>
      </c>
      <c r="D1822" t="s">
        <v>851</v>
      </c>
      <c r="E1822" t="s">
        <v>90</v>
      </c>
      <c r="F1822" t="s">
        <v>91</v>
      </c>
      <c r="G1822" s="14">
        <v>77447.58</v>
      </c>
      <c r="H1822">
        <v>1200</v>
      </c>
      <c r="I1822">
        <v>64.540000000000006</v>
      </c>
      <c r="J1822">
        <v>93711.57</v>
      </c>
    </row>
    <row r="1823" spans="1:10" hidden="1" x14ac:dyDescent="0.25">
      <c r="A1823" t="s">
        <v>850</v>
      </c>
      <c r="B1823" t="s">
        <v>88</v>
      </c>
      <c r="C1823" s="1">
        <v>45815</v>
      </c>
      <c r="D1823" t="s">
        <v>851</v>
      </c>
      <c r="E1823" t="s">
        <v>92</v>
      </c>
      <c r="F1823" t="s">
        <v>91</v>
      </c>
      <c r="G1823" s="14">
        <v>9296.36</v>
      </c>
      <c r="H1823">
        <v>1200</v>
      </c>
      <c r="I1823">
        <v>7.75</v>
      </c>
      <c r="J1823">
        <v>9296.36</v>
      </c>
    </row>
    <row r="1824" spans="1:10" hidden="1" x14ac:dyDescent="0.25">
      <c r="A1824" t="s">
        <v>182</v>
      </c>
      <c r="B1824" t="s">
        <v>88</v>
      </c>
      <c r="C1824" s="1">
        <v>45814</v>
      </c>
      <c r="D1824" t="s">
        <v>637</v>
      </c>
      <c r="E1824" t="s">
        <v>184</v>
      </c>
      <c r="F1824" t="s">
        <v>621</v>
      </c>
      <c r="G1824" s="14">
        <v>8070</v>
      </c>
      <c r="H1824">
        <v>1200</v>
      </c>
      <c r="I1824">
        <v>6.72</v>
      </c>
      <c r="J1824">
        <v>9764.7000000000007</v>
      </c>
    </row>
    <row r="1825" spans="1:10" hidden="1" x14ac:dyDescent="0.25">
      <c r="A1825" t="s">
        <v>246</v>
      </c>
      <c r="B1825" t="s">
        <v>88</v>
      </c>
      <c r="C1825" s="1">
        <v>45814</v>
      </c>
      <c r="D1825" t="s">
        <v>664</v>
      </c>
      <c r="E1825" t="s">
        <v>114</v>
      </c>
      <c r="F1825" t="s">
        <v>117</v>
      </c>
      <c r="G1825" s="14">
        <v>8735.85</v>
      </c>
      <c r="H1825">
        <v>1200</v>
      </c>
      <c r="I1825">
        <v>7.28</v>
      </c>
      <c r="J1825">
        <v>10570.38</v>
      </c>
    </row>
    <row r="1826" spans="1:10" hidden="1" x14ac:dyDescent="0.25">
      <c r="A1826" t="s">
        <v>501</v>
      </c>
      <c r="B1826" t="s">
        <v>88</v>
      </c>
      <c r="C1826" s="1">
        <v>45814</v>
      </c>
      <c r="D1826" t="s">
        <v>867</v>
      </c>
      <c r="E1826" t="s">
        <v>205</v>
      </c>
      <c r="F1826" t="s">
        <v>109</v>
      </c>
      <c r="G1826" s="14">
        <v>205931.32</v>
      </c>
      <c r="H1826">
        <v>1200</v>
      </c>
      <c r="I1826">
        <v>171.61</v>
      </c>
      <c r="J1826">
        <v>249176.9</v>
      </c>
    </row>
    <row r="1827" spans="1:10" hidden="1" x14ac:dyDescent="0.25">
      <c r="A1827" t="s">
        <v>515</v>
      </c>
      <c r="B1827" t="s">
        <v>88</v>
      </c>
      <c r="C1827" s="1">
        <v>45814</v>
      </c>
      <c r="D1827" t="s">
        <v>891</v>
      </c>
      <c r="E1827" t="s">
        <v>184</v>
      </c>
      <c r="F1827" t="s">
        <v>621</v>
      </c>
      <c r="G1827" s="14">
        <v>10910</v>
      </c>
      <c r="H1827">
        <v>1200</v>
      </c>
      <c r="I1827">
        <v>9.09</v>
      </c>
      <c r="J1827">
        <v>13201.1</v>
      </c>
    </row>
    <row r="1828" spans="1:10" hidden="1" x14ac:dyDescent="0.25">
      <c r="A1828" t="s">
        <v>175</v>
      </c>
      <c r="B1828" t="s">
        <v>88</v>
      </c>
      <c r="C1828" s="1">
        <v>45813</v>
      </c>
      <c r="D1828" t="s">
        <v>632</v>
      </c>
      <c r="E1828" t="s">
        <v>177</v>
      </c>
      <c r="F1828" t="s">
        <v>109</v>
      </c>
      <c r="G1828" s="14">
        <v>32945.33</v>
      </c>
      <c r="H1828">
        <v>1205</v>
      </c>
      <c r="I1828">
        <v>27.34</v>
      </c>
      <c r="J1828">
        <v>41840.57</v>
      </c>
    </row>
    <row r="1829" spans="1:10" hidden="1" x14ac:dyDescent="0.25">
      <c r="A1829" t="s">
        <v>175</v>
      </c>
      <c r="B1829" t="s">
        <v>88</v>
      </c>
      <c r="C1829" s="1">
        <v>45813</v>
      </c>
      <c r="D1829" t="s">
        <v>632</v>
      </c>
      <c r="E1829" t="s">
        <v>180</v>
      </c>
      <c r="F1829" t="s">
        <v>109</v>
      </c>
      <c r="G1829" s="14">
        <v>756.48</v>
      </c>
      <c r="H1829">
        <v>1205</v>
      </c>
      <c r="I1829">
        <v>0.63</v>
      </c>
      <c r="J1829">
        <v>756.48</v>
      </c>
    </row>
    <row r="1830" spans="1:10" hidden="1" x14ac:dyDescent="0.25">
      <c r="A1830" t="s">
        <v>182</v>
      </c>
      <c r="B1830" t="s">
        <v>88</v>
      </c>
      <c r="C1830" s="1">
        <v>45813</v>
      </c>
      <c r="D1830" t="s">
        <v>636</v>
      </c>
      <c r="E1830" t="s">
        <v>184</v>
      </c>
      <c r="F1830" t="s">
        <v>135</v>
      </c>
      <c r="G1830" s="14">
        <v>7560</v>
      </c>
      <c r="H1830">
        <v>1205</v>
      </c>
      <c r="I1830">
        <v>6.27</v>
      </c>
      <c r="J1830">
        <v>9147.6</v>
      </c>
    </row>
    <row r="1831" spans="1:10" hidden="1" x14ac:dyDescent="0.25">
      <c r="A1831" t="s">
        <v>426</v>
      </c>
      <c r="B1831" t="s">
        <v>88</v>
      </c>
      <c r="C1831" s="1">
        <v>45813</v>
      </c>
      <c r="D1831" t="s">
        <v>801</v>
      </c>
      <c r="E1831" t="s">
        <v>136</v>
      </c>
      <c r="F1831" t="s">
        <v>621</v>
      </c>
      <c r="G1831" s="14">
        <v>42860.97</v>
      </c>
      <c r="H1831">
        <v>1205</v>
      </c>
      <c r="I1831">
        <v>35.57</v>
      </c>
      <c r="J1831">
        <v>51861.77</v>
      </c>
    </row>
    <row r="1832" spans="1:10" hidden="1" x14ac:dyDescent="0.25">
      <c r="A1832" t="s">
        <v>533</v>
      </c>
      <c r="B1832" t="s">
        <v>88</v>
      </c>
      <c r="C1832" s="1">
        <v>45813</v>
      </c>
      <c r="D1832" t="s">
        <v>914</v>
      </c>
      <c r="E1832" t="s">
        <v>147</v>
      </c>
      <c r="F1832" t="s">
        <v>117</v>
      </c>
      <c r="G1832" s="14">
        <v>73.88</v>
      </c>
      <c r="H1832">
        <v>1205</v>
      </c>
      <c r="I1832">
        <v>0.06</v>
      </c>
      <c r="J1832">
        <v>73.88</v>
      </c>
    </row>
    <row r="1833" spans="1:10" hidden="1" x14ac:dyDescent="0.25">
      <c r="A1833" t="s">
        <v>533</v>
      </c>
      <c r="B1833" t="s">
        <v>88</v>
      </c>
      <c r="C1833" s="1">
        <v>45813</v>
      </c>
      <c r="D1833" t="s">
        <v>914</v>
      </c>
      <c r="E1833" t="s">
        <v>653</v>
      </c>
      <c r="F1833" t="s">
        <v>117</v>
      </c>
      <c r="G1833" s="14">
        <v>20848.04</v>
      </c>
      <c r="H1833">
        <v>1205</v>
      </c>
      <c r="I1833">
        <v>17.3</v>
      </c>
      <c r="J1833">
        <v>25226.13</v>
      </c>
    </row>
    <row r="1834" spans="1:10" hidden="1" x14ac:dyDescent="0.25">
      <c r="A1834" t="s">
        <v>182</v>
      </c>
      <c r="B1834" t="s">
        <v>88</v>
      </c>
      <c r="C1834" s="1">
        <v>45812</v>
      </c>
      <c r="D1834" t="s">
        <v>635</v>
      </c>
      <c r="E1834" t="s">
        <v>184</v>
      </c>
      <c r="F1834" t="s">
        <v>621</v>
      </c>
      <c r="G1834" s="14">
        <v>7000</v>
      </c>
      <c r="H1834">
        <v>1200</v>
      </c>
      <c r="I1834">
        <v>5.83</v>
      </c>
      <c r="J1834">
        <v>8470</v>
      </c>
    </row>
    <row r="1835" spans="1:10" hidden="1" x14ac:dyDescent="0.25">
      <c r="A1835" t="s">
        <v>216</v>
      </c>
      <c r="B1835" t="s">
        <v>88</v>
      </c>
      <c r="C1835" s="1">
        <v>45812</v>
      </c>
      <c r="D1835" t="s">
        <v>652</v>
      </c>
      <c r="E1835" t="s">
        <v>653</v>
      </c>
      <c r="F1835" t="s">
        <v>117</v>
      </c>
      <c r="G1835" s="14">
        <v>49586.78</v>
      </c>
      <c r="H1835">
        <v>1200</v>
      </c>
      <c r="I1835">
        <v>41.32</v>
      </c>
      <c r="J1835">
        <v>60000</v>
      </c>
    </row>
    <row r="1836" spans="1:10" hidden="1" x14ac:dyDescent="0.25">
      <c r="A1836" t="s">
        <v>383</v>
      </c>
      <c r="B1836" t="s">
        <v>88</v>
      </c>
      <c r="C1836" s="1">
        <v>45812</v>
      </c>
      <c r="D1836" t="s">
        <v>763</v>
      </c>
      <c r="E1836" t="s">
        <v>136</v>
      </c>
      <c r="F1836" t="s">
        <v>135</v>
      </c>
      <c r="G1836" s="14">
        <v>202599.12</v>
      </c>
      <c r="H1836">
        <v>1200</v>
      </c>
      <c r="I1836">
        <v>168.83</v>
      </c>
      <c r="J1836">
        <v>245144.94</v>
      </c>
    </row>
    <row r="1837" spans="1:10" hidden="1" x14ac:dyDescent="0.25">
      <c r="A1837" t="s">
        <v>426</v>
      </c>
      <c r="B1837" t="s">
        <v>88</v>
      </c>
      <c r="C1837" s="1">
        <v>45812</v>
      </c>
      <c r="D1837" t="s">
        <v>799</v>
      </c>
      <c r="E1837" t="s">
        <v>136</v>
      </c>
      <c r="F1837" t="s">
        <v>621</v>
      </c>
      <c r="G1837" s="14">
        <v>130262.83</v>
      </c>
      <c r="H1837">
        <v>1200</v>
      </c>
      <c r="I1837">
        <v>108.55</v>
      </c>
      <c r="J1837">
        <v>157618.01999999999</v>
      </c>
    </row>
    <row r="1838" spans="1:10" hidden="1" x14ac:dyDescent="0.25">
      <c r="A1838" t="s">
        <v>265</v>
      </c>
      <c r="B1838" t="s">
        <v>88</v>
      </c>
      <c r="C1838" s="1">
        <v>45811</v>
      </c>
      <c r="D1838" t="s">
        <v>683</v>
      </c>
      <c r="E1838" t="s">
        <v>267</v>
      </c>
      <c r="F1838" t="s">
        <v>109</v>
      </c>
      <c r="G1838" s="14">
        <v>78300</v>
      </c>
      <c r="H1838">
        <v>1200</v>
      </c>
      <c r="I1838">
        <v>65.25</v>
      </c>
      <c r="J1838">
        <v>94743</v>
      </c>
    </row>
    <row r="1839" spans="1:10" hidden="1" x14ac:dyDescent="0.25">
      <c r="A1839" t="s">
        <v>712</v>
      </c>
      <c r="B1839" t="s">
        <v>88</v>
      </c>
      <c r="C1839" s="1">
        <v>45811</v>
      </c>
      <c r="D1839" t="s">
        <v>713</v>
      </c>
      <c r="E1839" t="s">
        <v>147</v>
      </c>
      <c r="F1839" t="s">
        <v>91</v>
      </c>
      <c r="G1839" s="14">
        <v>9885.77</v>
      </c>
      <c r="H1839">
        <v>1200</v>
      </c>
      <c r="I1839">
        <v>8.24</v>
      </c>
      <c r="J1839">
        <v>9885.77</v>
      </c>
    </row>
    <row r="1840" spans="1:10" hidden="1" x14ac:dyDescent="0.25">
      <c r="A1840" t="s">
        <v>712</v>
      </c>
      <c r="B1840" t="s">
        <v>88</v>
      </c>
      <c r="C1840" s="1">
        <v>45811</v>
      </c>
      <c r="D1840" t="s">
        <v>713</v>
      </c>
      <c r="E1840" t="s">
        <v>90</v>
      </c>
      <c r="F1840" t="s">
        <v>91</v>
      </c>
      <c r="G1840" s="14">
        <v>63734.02</v>
      </c>
      <c r="H1840">
        <v>1200</v>
      </c>
      <c r="I1840">
        <v>53.11</v>
      </c>
      <c r="J1840">
        <v>77118.17</v>
      </c>
    </row>
    <row r="1841" spans="1:10" hidden="1" x14ac:dyDescent="0.25">
      <c r="A1841" t="s">
        <v>324</v>
      </c>
      <c r="B1841" t="s">
        <v>88</v>
      </c>
      <c r="C1841" s="1">
        <v>45811</v>
      </c>
      <c r="D1841" t="s">
        <v>719</v>
      </c>
      <c r="E1841" t="s">
        <v>102</v>
      </c>
      <c r="F1841" t="s">
        <v>621</v>
      </c>
      <c r="G1841" s="14">
        <v>26000</v>
      </c>
      <c r="H1841">
        <v>1200</v>
      </c>
      <c r="I1841">
        <v>21.67</v>
      </c>
      <c r="J1841">
        <v>26000</v>
      </c>
    </row>
    <row r="1842" spans="1:10" hidden="1" x14ac:dyDescent="0.25">
      <c r="A1842" t="s">
        <v>405</v>
      </c>
      <c r="B1842" t="s">
        <v>88</v>
      </c>
      <c r="C1842" s="1">
        <v>45811</v>
      </c>
      <c r="D1842" t="s">
        <v>774</v>
      </c>
      <c r="E1842" t="s">
        <v>775</v>
      </c>
      <c r="F1842" t="s">
        <v>117</v>
      </c>
      <c r="G1842" s="14">
        <v>2533.91</v>
      </c>
      <c r="H1842">
        <v>1200</v>
      </c>
      <c r="I1842">
        <v>2.11</v>
      </c>
      <c r="J1842">
        <v>2799.97</v>
      </c>
    </row>
    <row r="1843" spans="1:10" hidden="1" x14ac:dyDescent="0.25">
      <c r="A1843" t="s">
        <v>405</v>
      </c>
      <c r="B1843" t="s">
        <v>88</v>
      </c>
      <c r="C1843" s="1">
        <v>45811</v>
      </c>
      <c r="D1843" t="s">
        <v>774</v>
      </c>
      <c r="E1843" t="s">
        <v>653</v>
      </c>
      <c r="F1843" t="s">
        <v>117</v>
      </c>
      <c r="G1843" s="14">
        <v>15950.44</v>
      </c>
      <c r="H1843">
        <v>1200</v>
      </c>
      <c r="I1843">
        <v>13.29</v>
      </c>
      <c r="J1843">
        <v>19300.03</v>
      </c>
    </row>
    <row r="1844" spans="1:10" hidden="1" x14ac:dyDescent="0.25">
      <c r="A1844" t="s">
        <v>420</v>
      </c>
      <c r="B1844" t="s">
        <v>88</v>
      </c>
      <c r="C1844" s="1">
        <v>45811</v>
      </c>
      <c r="D1844" t="s">
        <v>798</v>
      </c>
      <c r="E1844" t="s">
        <v>422</v>
      </c>
      <c r="F1844" t="s">
        <v>109</v>
      </c>
      <c r="G1844" s="14">
        <v>45040</v>
      </c>
      <c r="H1844">
        <v>1200</v>
      </c>
      <c r="I1844">
        <v>37.53</v>
      </c>
      <c r="J1844">
        <v>54498.400000000001</v>
      </c>
    </row>
    <row r="1845" spans="1:10" hidden="1" x14ac:dyDescent="0.25">
      <c r="A1845" t="s">
        <v>512</v>
      </c>
      <c r="B1845" t="s">
        <v>88</v>
      </c>
      <c r="C1845" s="1">
        <v>45811</v>
      </c>
      <c r="D1845" t="s">
        <v>888</v>
      </c>
      <c r="E1845" t="s">
        <v>136</v>
      </c>
      <c r="F1845" t="s">
        <v>15</v>
      </c>
      <c r="G1845" s="14">
        <v>2388204</v>
      </c>
      <c r="H1845">
        <v>1200</v>
      </c>
      <c r="I1845">
        <v>1990.17</v>
      </c>
      <c r="J1845">
        <v>2889726.84</v>
      </c>
    </row>
    <row r="1846" spans="1:10" hidden="1" x14ac:dyDescent="0.25">
      <c r="A1846" t="s">
        <v>533</v>
      </c>
      <c r="B1846" t="s">
        <v>88</v>
      </c>
      <c r="C1846" s="1">
        <v>45811</v>
      </c>
      <c r="D1846" t="s">
        <v>912</v>
      </c>
      <c r="E1846" t="s">
        <v>653</v>
      </c>
      <c r="F1846" t="s">
        <v>117</v>
      </c>
      <c r="G1846" s="14">
        <v>5702.48</v>
      </c>
      <c r="H1846">
        <v>1200</v>
      </c>
      <c r="I1846">
        <v>4.75</v>
      </c>
      <c r="J1846">
        <v>6900</v>
      </c>
    </row>
    <row r="1847" spans="1:10" hidden="1" x14ac:dyDescent="0.25">
      <c r="A1847" t="s">
        <v>106</v>
      </c>
      <c r="B1847" t="s">
        <v>88</v>
      </c>
      <c r="C1847" s="1">
        <v>45810</v>
      </c>
      <c r="D1847" t="s">
        <v>586</v>
      </c>
      <c r="E1847" t="s">
        <v>108</v>
      </c>
      <c r="F1847" t="s">
        <v>109</v>
      </c>
      <c r="G1847" s="14">
        <v>51467</v>
      </c>
      <c r="H1847">
        <v>1200</v>
      </c>
      <c r="I1847">
        <v>42.89</v>
      </c>
      <c r="J1847">
        <v>51467</v>
      </c>
    </row>
    <row r="1848" spans="1:10" hidden="1" x14ac:dyDescent="0.25">
      <c r="A1848" t="s">
        <v>275</v>
      </c>
      <c r="B1848" t="s">
        <v>88</v>
      </c>
      <c r="C1848" s="1">
        <v>45810</v>
      </c>
      <c r="D1848" t="s">
        <v>691</v>
      </c>
      <c r="E1848" t="s">
        <v>147</v>
      </c>
      <c r="F1848" t="s">
        <v>91</v>
      </c>
      <c r="G1848" s="14">
        <v>136928.22</v>
      </c>
      <c r="H1848">
        <v>1200</v>
      </c>
      <c r="I1848">
        <v>114.11</v>
      </c>
      <c r="J1848">
        <v>136928.22</v>
      </c>
    </row>
    <row r="1849" spans="1:10" hidden="1" x14ac:dyDescent="0.25">
      <c r="A1849" t="s">
        <v>275</v>
      </c>
      <c r="B1849" t="s">
        <v>88</v>
      </c>
      <c r="C1849" s="1">
        <v>45810</v>
      </c>
      <c r="D1849" t="s">
        <v>691</v>
      </c>
      <c r="E1849" t="s">
        <v>90</v>
      </c>
      <c r="F1849" t="s">
        <v>91</v>
      </c>
      <c r="G1849" s="14">
        <v>716828.21</v>
      </c>
      <c r="H1849">
        <v>1200</v>
      </c>
      <c r="I1849">
        <v>597.36</v>
      </c>
      <c r="J1849">
        <v>867362.14</v>
      </c>
    </row>
    <row r="1850" spans="1:10" hidden="1" x14ac:dyDescent="0.25">
      <c r="A1850" t="s">
        <v>298</v>
      </c>
      <c r="B1850" t="s">
        <v>88</v>
      </c>
      <c r="C1850" s="1">
        <v>45810</v>
      </c>
      <c r="D1850" t="s">
        <v>705</v>
      </c>
      <c r="E1850" t="s">
        <v>205</v>
      </c>
      <c r="F1850" t="s">
        <v>109</v>
      </c>
      <c r="G1850" s="14">
        <v>46000</v>
      </c>
      <c r="H1850">
        <v>1200</v>
      </c>
      <c r="I1850">
        <v>38.33</v>
      </c>
      <c r="J1850">
        <v>55660</v>
      </c>
    </row>
    <row r="1851" spans="1:10" hidden="1" x14ac:dyDescent="0.25">
      <c r="A1851" t="s">
        <v>367</v>
      </c>
      <c r="B1851" t="s">
        <v>88</v>
      </c>
      <c r="C1851" s="1">
        <v>45810</v>
      </c>
      <c r="D1851" t="s">
        <v>749</v>
      </c>
      <c r="E1851" t="s">
        <v>215</v>
      </c>
      <c r="F1851" t="s">
        <v>109</v>
      </c>
      <c r="G1851" s="14">
        <v>39392.89</v>
      </c>
      <c r="H1851">
        <v>1200</v>
      </c>
      <c r="I1851">
        <v>32.83</v>
      </c>
      <c r="J1851">
        <v>47665.4</v>
      </c>
    </row>
    <row r="1852" spans="1:10" hidden="1" x14ac:dyDescent="0.25">
      <c r="A1852" t="s">
        <v>478</v>
      </c>
      <c r="B1852" t="s">
        <v>88</v>
      </c>
      <c r="C1852" s="1">
        <v>45810</v>
      </c>
      <c r="D1852" t="s">
        <v>845</v>
      </c>
      <c r="E1852" t="s">
        <v>205</v>
      </c>
      <c r="F1852" t="s">
        <v>109</v>
      </c>
      <c r="G1852" s="14">
        <v>13580.17</v>
      </c>
      <c r="H1852">
        <v>1200</v>
      </c>
      <c r="I1852">
        <v>11.32</v>
      </c>
      <c r="J1852">
        <v>16432.009999999998</v>
      </c>
    </row>
    <row r="1853" spans="1:10" hidden="1" x14ac:dyDescent="0.25">
      <c r="A1853" t="s">
        <v>112</v>
      </c>
      <c r="B1853" t="s">
        <v>88</v>
      </c>
      <c r="C1853" s="1">
        <v>45809</v>
      </c>
      <c r="D1853" t="s">
        <v>589</v>
      </c>
      <c r="E1853" t="s">
        <v>114</v>
      </c>
      <c r="F1853" t="s">
        <v>117</v>
      </c>
      <c r="G1853" s="14">
        <v>7279.83</v>
      </c>
      <c r="H1853">
        <v>1195</v>
      </c>
      <c r="I1853">
        <v>6.09</v>
      </c>
      <c r="J1853">
        <v>8808.6</v>
      </c>
    </row>
    <row r="1854" spans="1:10" hidden="1" x14ac:dyDescent="0.25">
      <c r="A1854" t="s">
        <v>149</v>
      </c>
      <c r="B1854" t="s">
        <v>88</v>
      </c>
      <c r="C1854" s="1">
        <v>45809</v>
      </c>
      <c r="D1854" t="s">
        <v>609</v>
      </c>
      <c r="E1854" t="s">
        <v>610</v>
      </c>
      <c r="F1854" t="s">
        <v>11</v>
      </c>
      <c r="G1854" s="14">
        <v>79212</v>
      </c>
      <c r="H1854">
        <v>1195</v>
      </c>
      <c r="I1854">
        <v>66.290000000000006</v>
      </c>
      <c r="J1854">
        <v>95844</v>
      </c>
    </row>
    <row r="1855" spans="1:10" hidden="1" x14ac:dyDescent="0.25">
      <c r="A1855" t="s">
        <v>149</v>
      </c>
      <c r="B1855" t="s">
        <v>88</v>
      </c>
      <c r="C1855" s="1">
        <v>45809</v>
      </c>
      <c r="D1855" t="s">
        <v>609</v>
      </c>
      <c r="E1855" t="s">
        <v>611</v>
      </c>
      <c r="F1855" t="s">
        <v>11</v>
      </c>
      <c r="G1855" s="14">
        <v>1752</v>
      </c>
      <c r="H1855">
        <v>1195</v>
      </c>
      <c r="I1855">
        <v>1.47</v>
      </c>
      <c r="J1855">
        <v>1752</v>
      </c>
    </row>
    <row r="1856" spans="1:10" hidden="1" x14ac:dyDescent="0.25">
      <c r="A1856" t="s">
        <v>364</v>
      </c>
      <c r="B1856" t="s">
        <v>88</v>
      </c>
      <c r="C1856" s="1">
        <v>45809</v>
      </c>
      <c r="D1856" t="s">
        <v>747</v>
      </c>
      <c r="E1856" t="s">
        <v>102</v>
      </c>
      <c r="F1856" t="s">
        <v>109</v>
      </c>
      <c r="G1856" s="14">
        <v>12000</v>
      </c>
      <c r="H1856">
        <v>1195</v>
      </c>
      <c r="I1856">
        <v>10.039999999999999</v>
      </c>
      <c r="J1856">
        <v>12000</v>
      </c>
    </row>
    <row r="1857" spans="1:10" hidden="1" x14ac:dyDescent="0.25">
      <c r="A1857" t="s">
        <v>510</v>
      </c>
      <c r="B1857" t="s">
        <v>96</v>
      </c>
      <c r="C1857" s="1">
        <v>45809</v>
      </c>
      <c r="D1857" t="s">
        <v>876</v>
      </c>
      <c r="E1857" t="s">
        <v>127</v>
      </c>
      <c r="F1857" t="s">
        <v>117</v>
      </c>
      <c r="G1857" s="14">
        <v>318.42</v>
      </c>
      <c r="H1857">
        <v>1195</v>
      </c>
      <c r="I1857">
        <v>0.27</v>
      </c>
      <c r="J1857">
        <v>318.42</v>
      </c>
    </row>
    <row r="1858" spans="1:10" hidden="1" x14ac:dyDescent="0.25">
      <c r="A1858" t="s">
        <v>123</v>
      </c>
      <c r="B1858" t="s">
        <v>88</v>
      </c>
      <c r="C1858" s="1">
        <v>45808</v>
      </c>
      <c r="D1858" t="s">
        <v>594</v>
      </c>
      <c r="E1858" t="s">
        <v>114</v>
      </c>
      <c r="F1858" t="s">
        <v>117</v>
      </c>
      <c r="G1858" s="14">
        <v>3594.23</v>
      </c>
      <c r="H1858">
        <v>1195</v>
      </c>
      <c r="I1858">
        <v>3.01</v>
      </c>
      <c r="J1858">
        <v>4349.0200000000004</v>
      </c>
    </row>
    <row r="1859" spans="1:10" hidden="1" x14ac:dyDescent="0.25">
      <c r="A1859" t="s">
        <v>125</v>
      </c>
      <c r="B1859" t="s">
        <v>88</v>
      </c>
      <c r="C1859" s="1">
        <v>45808</v>
      </c>
      <c r="D1859" t="s">
        <v>599</v>
      </c>
      <c r="E1859" t="s">
        <v>114</v>
      </c>
      <c r="F1859" t="s">
        <v>117</v>
      </c>
      <c r="G1859" s="14">
        <v>12570.3</v>
      </c>
      <c r="H1859">
        <v>1195</v>
      </c>
      <c r="I1859">
        <v>10.52</v>
      </c>
      <c r="J1859">
        <v>15210.06</v>
      </c>
    </row>
    <row r="1860" spans="1:10" hidden="1" x14ac:dyDescent="0.25">
      <c r="A1860" t="s">
        <v>125</v>
      </c>
      <c r="B1860" t="s">
        <v>88</v>
      </c>
      <c r="C1860" s="1">
        <v>45808</v>
      </c>
      <c r="D1860" t="s">
        <v>599</v>
      </c>
      <c r="E1860" t="s">
        <v>127</v>
      </c>
      <c r="F1860" t="s">
        <v>117</v>
      </c>
      <c r="G1860" s="14">
        <v>1257.1300000000001</v>
      </c>
      <c r="H1860">
        <v>1195</v>
      </c>
      <c r="I1860">
        <v>1.05</v>
      </c>
      <c r="J1860">
        <v>1257.1300000000001</v>
      </c>
    </row>
    <row r="1861" spans="1:10" hidden="1" x14ac:dyDescent="0.25">
      <c r="A1861" t="s">
        <v>156</v>
      </c>
      <c r="B1861" t="s">
        <v>96</v>
      </c>
      <c r="C1861" s="1">
        <v>45808</v>
      </c>
      <c r="D1861" t="s">
        <v>619</v>
      </c>
      <c r="E1861" t="s">
        <v>158</v>
      </c>
      <c r="F1861" t="s">
        <v>159</v>
      </c>
      <c r="G1861" s="14">
        <v>234321.98</v>
      </c>
      <c r="H1861">
        <v>1195</v>
      </c>
      <c r="I1861">
        <v>196.09</v>
      </c>
      <c r="J1861">
        <v>234321.98</v>
      </c>
    </row>
    <row r="1862" spans="1:10" hidden="1" x14ac:dyDescent="0.25">
      <c r="A1862" t="s">
        <v>300</v>
      </c>
      <c r="B1862" t="s">
        <v>88</v>
      </c>
      <c r="C1862" s="1">
        <v>45808</v>
      </c>
      <c r="D1862" t="s">
        <v>708</v>
      </c>
      <c r="E1862" t="s">
        <v>147</v>
      </c>
      <c r="F1862" t="s">
        <v>91</v>
      </c>
      <c r="G1862" s="14">
        <v>12871.92</v>
      </c>
      <c r="H1862">
        <v>1195</v>
      </c>
      <c r="I1862">
        <v>10.77</v>
      </c>
      <c r="J1862">
        <v>12871.92</v>
      </c>
    </row>
    <row r="1863" spans="1:10" hidden="1" x14ac:dyDescent="0.25">
      <c r="A1863" t="s">
        <v>300</v>
      </c>
      <c r="B1863" t="s">
        <v>88</v>
      </c>
      <c r="C1863" s="1">
        <v>45808</v>
      </c>
      <c r="D1863" t="s">
        <v>708</v>
      </c>
      <c r="E1863" t="s">
        <v>90</v>
      </c>
      <c r="F1863" t="s">
        <v>91</v>
      </c>
      <c r="G1863" s="14">
        <v>62607.67</v>
      </c>
      <c r="H1863">
        <v>1195</v>
      </c>
      <c r="I1863">
        <v>52.39</v>
      </c>
      <c r="J1863">
        <v>75755.289999999994</v>
      </c>
    </row>
    <row r="1864" spans="1:10" hidden="1" x14ac:dyDescent="0.25">
      <c r="A1864" t="s">
        <v>349</v>
      </c>
      <c r="B1864" t="s">
        <v>88</v>
      </c>
      <c r="C1864" s="1">
        <v>45808</v>
      </c>
      <c r="D1864" t="s">
        <v>733</v>
      </c>
      <c r="E1864" t="s">
        <v>102</v>
      </c>
      <c r="G1864" s="14">
        <v>141708</v>
      </c>
      <c r="H1864">
        <v>1195</v>
      </c>
      <c r="I1864">
        <v>118.58</v>
      </c>
      <c r="J1864">
        <v>141708</v>
      </c>
    </row>
    <row r="1865" spans="1:10" hidden="1" x14ac:dyDescent="0.25">
      <c r="A1865" t="s">
        <v>156</v>
      </c>
      <c r="B1865" t="s">
        <v>96</v>
      </c>
      <c r="C1865" s="1">
        <v>45807</v>
      </c>
      <c r="D1865" t="s">
        <v>618</v>
      </c>
      <c r="E1865" t="s">
        <v>158</v>
      </c>
      <c r="F1865" t="s">
        <v>159</v>
      </c>
      <c r="G1865" s="14">
        <v>496266.85</v>
      </c>
      <c r="H1865">
        <v>1195</v>
      </c>
      <c r="I1865">
        <v>415.29</v>
      </c>
      <c r="J1865">
        <v>496266.85</v>
      </c>
    </row>
    <row r="1866" spans="1:10" hidden="1" x14ac:dyDescent="0.25">
      <c r="A1866" t="s">
        <v>414</v>
      </c>
      <c r="B1866" t="s">
        <v>88</v>
      </c>
      <c r="C1866" s="1">
        <v>45807</v>
      </c>
      <c r="D1866" t="s">
        <v>789</v>
      </c>
      <c r="E1866" t="s">
        <v>136</v>
      </c>
      <c r="F1866" t="s">
        <v>135</v>
      </c>
      <c r="G1866" s="14">
        <v>83703.58</v>
      </c>
      <c r="H1866">
        <v>1195</v>
      </c>
      <c r="I1866">
        <v>70.040000000000006</v>
      </c>
      <c r="J1866">
        <v>101281.33</v>
      </c>
    </row>
    <row r="1867" spans="1:10" hidden="1" x14ac:dyDescent="0.25">
      <c r="A1867" t="s">
        <v>483</v>
      </c>
      <c r="B1867" t="s">
        <v>88</v>
      </c>
      <c r="C1867" s="1">
        <v>45807</v>
      </c>
      <c r="D1867" t="s">
        <v>847</v>
      </c>
      <c r="E1867" t="s">
        <v>136</v>
      </c>
      <c r="F1867" t="s">
        <v>621</v>
      </c>
      <c r="G1867" s="14">
        <v>168198.75</v>
      </c>
      <c r="H1867">
        <v>1195</v>
      </c>
      <c r="I1867">
        <v>140.75</v>
      </c>
      <c r="J1867">
        <v>203520.49</v>
      </c>
    </row>
    <row r="1868" spans="1:10" hidden="1" x14ac:dyDescent="0.25">
      <c r="A1868" t="s">
        <v>521</v>
      </c>
      <c r="B1868" t="s">
        <v>88</v>
      </c>
      <c r="C1868" s="1">
        <v>45807</v>
      </c>
      <c r="D1868" t="s">
        <v>902</v>
      </c>
      <c r="E1868" t="s">
        <v>136</v>
      </c>
      <c r="G1868" s="14">
        <v>7100</v>
      </c>
      <c r="H1868">
        <v>1195</v>
      </c>
      <c r="I1868">
        <v>5.94</v>
      </c>
      <c r="J1868">
        <v>8591</v>
      </c>
    </row>
    <row r="1869" spans="1:10" hidden="1" x14ac:dyDescent="0.25">
      <c r="A1869" t="s">
        <v>161</v>
      </c>
      <c r="B1869" t="s">
        <v>88</v>
      </c>
      <c r="C1869" s="1">
        <v>45805</v>
      </c>
      <c r="D1869" t="s">
        <v>625</v>
      </c>
      <c r="E1869" t="s">
        <v>90</v>
      </c>
      <c r="F1869" t="s">
        <v>626</v>
      </c>
      <c r="G1869" s="14">
        <v>639744.30000000005</v>
      </c>
      <c r="H1869">
        <v>1175</v>
      </c>
      <c r="I1869">
        <v>544.46</v>
      </c>
      <c r="J1869">
        <v>774090.61</v>
      </c>
    </row>
    <row r="1870" spans="1:10" hidden="1" x14ac:dyDescent="0.25">
      <c r="A1870" t="s">
        <v>161</v>
      </c>
      <c r="B1870" t="s">
        <v>88</v>
      </c>
      <c r="C1870" s="1">
        <v>45805</v>
      </c>
      <c r="D1870" t="s">
        <v>627</v>
      </c>
      <c r="E1870" t="s">
        <v>136</v>
      </c>
      <c r="F1870" t="s">
        <v>626</v>
      </c>
      <c r="G1870" s="14">
        <v>38352.6</v>
      </c>
      <c r="H1870">
        <v>1175</v>
      </c>
      <c r="I1870">
        <v>32.64</v>
      </c>
      <c r="J1870">
        <v>46406.65</v>
      </c>
    </row>
    <row r="1871" spans="1:10" hidden="1" x14ac:dyDescent="0.25">
      <c r="A1871" t="s">
        <v>246</v>
      </c>
      <c r="B1871" t="s">
        <v>88</v>
      </c>
      <c r="C1871" s="1">
        <v>45805</v>
      </c>
      <c r="D1871" t="s">
        <v>675</v>
      </c>
      <c r="E1871" t="s">
        <v>114</v>
      </c>
      <c r="F1871" t="s">
        <v>117</v>
      </c>
      <c r="G1871" s="14">
        <v>21839.66</v>
      </c>
      <c r="H1871">
        <v>1175</v>
      </c>
      <c r="I1871">
        <v>18.59</v>
      </c>
      <c r="J1871">
        <v>26425.99</v>
      </c>
    </row>
    <row r="1872" spans="1:10" hidden="1" x14ac:dyDescent="0.25">
      <c r="A1872" t="s">
        <v>527</v>
      </c>
      <c r="B1872" t="s">
        <v>88</v>
      </c>
      <c r="C1872" s="1">
        <v>45805</v>
      </c>
      <c r="D1872" t="s">
        <v>907</v>
      </c>
      <c r="E1872" t="s">
        <v>297</v>
      </c>
      <c r="F1872" t="s">
        <v>9</v>
      </c>
      <c r="G1872" s="14">
        <v>287530.44</v>
      </c>
      <c r="H1872">
        <v>1175</v>
      </c>
      <c r="I1872">
        <v>244.71</v>
      </c>
      <c r="J1872">
        <v>347911.72</v>
      </c>
    </row>
    <row r="1873" spans="1:10" hidden="1" x14ac:dyDescent="0.25">
      <c r="A1873" t="s">
        <v>527</v>
      </c>
      <c r="B1873" t="s">
        <v>88</v>
      </c>
      <c r="C1873" s="1">
        <v>45805</v>
      </c>
      <c r="D1873" t="s">
        <v>907</v>
      </c>
      <c r="E1873" t="s">
        <v>529</v>
      </c>
      <c r="F1873" t="s">
        <v>9</v>
      </c>
      <c r="G1873" s="14">
        <v>168600</v>
      </c>
      <c r="H1873">
        <v>1175</v>
      </c>
      <c r="I1873">
        <v>143.49</v>
      </c>
      <c r="J1873">
        <v>204006</v>
      </c>
    </row>
    <row r="1874" spans="1:10" hidden="1" x14ac:dyDescent="0.25">
      <c r="A1874" t="s">
        <v>527</v>
      </c>
      <c r="B1874" t="s">
        <v>530</v>
      </c>
      <c r="C1874" s="1">
        <v>45805</v>
      </c>
      <c r="D1874" t="s">
        <v>910</v>
      </c>
      <c r="E1874" t="s">
        <v>297</v>
      </c>
      <c r="F1874" t="s">
        <v>9</v>
      </c>
      <c r="G1874" s="14">
        <v>3016.31</v>
      </c>
      <c r="H1874">
        <v>1175</v>
      </c>
      <c r="I1874">
        <v>2.57</v>
      </c>
      <c r="J1874">
        <v>3649.73</v>
      </c>
    </row>
    <row r="1875" spans="1:10" hidden="1" x14ac:dyDescent="0.25">
      <c r="A1875" t="s">
        <v>527</v>
      </c>
      <c r="B1875" t="s">
        <v>530</v>
      </c>
      <c r="C1875" s="1">
        <v>45805</v>
      </c>
      <c r="D1875" t="s">
        <v>910</v>
      </c>
      <c r="E1875" t="s">
        <v>84</v>
      </c>
      <c r="F1875" t="s">
        <v>9</v>
      </c>
      <c r="G1875" s="14">
        <v>251359.28</v>
      </c>
      <c r="H1875">
        <v>1175</v>
      </c>
      <c r="I1875">
        <v>213.92</v>
      </c>
      <c r="J1875">
        <v>251359.28</v>
      </c>
    </row>
    <row r="1876" spans="1:10" hidden="1" x14ac:dyDescent="0.25">
      <c r="A1876" t="s">
        <v>533</v>
      </c>
      <c r="B1876" t="s">
        <v>88</v>
      </c>
      <c r="C1876" s="1">
        <v>45805</v>
      </c>
      <c r="D1876" t="s">
        <v>924</v>
      </c>
      <c r="E1876" t="s">
        <v>147</v>
      </c>
      <c r="F1876" t="s">
        <v>91</v>
      </c>
      <c r="G1876" s="14">
        <v>11811.68</v>
      </c>
      <c r="H1876">
        <v>1175</v>
      </c>
      <c r="I1876">
        <v>10.050000000000001</v>
      </c>
      <c r="J1876">
        <v>11811.68</v>
      </c>
    </row>
    <row r="1877" spans="1:10" hidden="1" x14ac:dyDescent="0.25">
      <c r="A1877" t="s">
        <v>533</v>
      </c>
      <c r="B1877" t="s">
        <v>88</v>
      </c>
      <c r="C1877" s="1">
        <v>45805</v>
      </c>
      <c r="D1877" t="s">
        <v>924</v>
      </c>
      <c r="E1877" t="s">
        <v>90</v>
      </c>
      <c r="F1877" t="s">
        <v>91</v>
      </c>
      <c r="G1877" s="14">
        <v>62974.68</v>
      </c>
      <c r="H1877">
        <v>1175</v>
      </c>
      <c r="I1877">
        <v>53.6</v>
      </c>
      <c r="J1877">
        <v>76199.37</v>
      </c>
    </row>
    <row r="1878" spans="1:10" hidden="1" x14ac:dyDescent="0.25">
      <c r="A1878" t="s">
        <v>533</v>
      </c>
      <c r="B1878" t="s">
        <v>88</v>
      </c>
      <c r="C1878" s="1">
        <v>45805</v>
      </c>
      <c r="D1878" t="s">
        <v>925</v>
      </c>
      <c r="E1878" t="s">
        <v>147</v>
      </c>
      <c r="G1878" s="14">
        <v>147.76</v>
      </c>
      <c r="H1878">
        <v>1175</v>
      </c>
      <c r="I1878">
        <v>0.13</v>
      </c>
      <c r="J1878">
        <v>147.76</v>
      </c>
    </row>
    <row r="1879" spans="1:10" hidden="1" x14ac:dyDescent="0.25">
      <c r="A1879" t="s">
        <v>533</v>
      </c>
      <c r="B1879" t="s">
        <v>88</v>
      </c>
      <c r="C1879" s="1">
        <v>45805</v>
      </c>
      <c r="D1879" t="s">
        <v>925</v>
      </c>
      <c r="E1879" t="s">
        <v>653</v>
      </c>
      <c r="G1879" s="14">
        <v>16324.16</v>
      </c>
      <c r="H1879">
        <v>1175</v>
      </c>
      <c r="I1879">
        <v>13.89</v>
      </c>
      <c r="J1879">
        <v>19752.23</v>
      </c>
    </row>
    <row r="1880" spans="1:10" hidden="1" x14ac:dyDescent="0.25">
      <c r="A1880" t="s">
        <v>525</v>
      </c>
      <c r="B1880" t="s">
        <v>88</v>
      </c>
      <c r="C1880" s="1">
        <v>45804</v>
      </c>
      <c r="D1880" t="s">
        <v>904</v>
      </c>
      <c r="E1880" t="s">
        <v>108</v>
      </c>
      <c r="F1880" t="s">
        <v>109</v>
      </c>
      <c r="G1880" s="14">
        <v>82000</v>
      </c>
      <c r="H1880">
        <v>1170</v>
      </c>
      <c r="I1880">
        <v>70.09</v>
      </c>
      <c r="J1880">
        <v>82000</v>
      </c>
    </row>
    <row r="1881" spans="1:10" hidden="1" x14ac:dyDescent="0.25">
      <c r="A1881" t="s">
        <v>336</v>
      </c>
      <c r="B1881" t="s">
        <v>88</v>
      </c>
      <c r="C1881" s="1">
        <v>45803</v>
      </c>
      <c r="D1881" t="s">
        <v>725</v>
      </c>
      <c r="E1881" t="s">
        <v>205</v>
      </c>
      <c r="F1881" t="s">
        <v>105</v>
      </c>
      <c r="G1881" s="14">
        <v>207700</v>
      </c>
      <c r="H1881">
        <v>1160</v>
      </c>
      <c r="I1881">
        <v>179.05</v>
      </c>
      <c r="J1881">
        <v>251317</v>
      </c>
    </row>
    <row r="1882" spans="1:10" hidden="1" x14ac:dyDescent="0.25">
      <c r="A1882" t="s">
        <v>443</v>
      </c>
      <c r="B1882" t="s">
        <v>88</v>
      </c>
      <c r="C1882" s="1">
        <v>45803</v>
      </c>
      <c r="D1882" t="s">
        <v>825</v>
      </c>
      <c r="E1882" t="s">
        <v>90</v>
      </c>
      <c r="F1882" t="s">
        <v>91</v>
      </c>
      <c r="G1882" s="14">
        <v>51681.25</v>
      </c>
      <c r="H1882">
        <v>1160</v>
      </c>
      <c r="I1882">
        <v>44.55</v>
      </c>
      <c r="J1882">
        <v>62534.31</v>
      </c>
    </row>
    <row r="1883" spans="1:10" hidden="1" x14ac:dyDescent="0.25">
      <c r="A1883" t="s">
        <v>443</v>
      </c>
      <c r="B1883" t="s">
        <v>88</v>
      </c>
      <c r="C1883" s="1">
        <v>45803</v>
      </c>
      <c r="D1883" t="s">
        <v>825</v>
      </c>
      <c r="E1883" t="s">
        <v>92</v>
      </c>
      <c r="F1883" t="s">
        <v>91</v>
      </c>
      <c r="G1883" s="14">
        <v>11466.7</v>
      </c>
      <c r="H1883">
        <v>1160</v>
      </c>
      <c r="I1883">
        <v>9.89</v>
      </c>
      <c r="J1883">
        <v>11466.7</v>
      </c>
    </row>
    <row r="1884" spans="1:10" hidden="1" x14ac:dyDescent="0.25">
      <c r="A1884" t="s">
        <v>246</v>
      </c>
      <c r="B1884" t="s">
        <v>88</v>
      </c>
      <c r="C1884" s="1">
        <v>45799</v>
      </c>
      <c r="D1884" t="s">
        <v>673</v>
      </c>
      <c r="E1884" t="s">
        <v>114</v>
      </c>
      <c r="G1884" s="14">
        <v>4575.92</v>
      </c>
      <c r="H1884">
        <v>1155</v>
      </c>
      <c r="I1884">
        <v>3.96</v>
      </c>
      <c r="J1884">
        <v>5536.86</v>
      </c>
    </row>
    <row r="1885" spans="1:10" hidden="1" x14ac:dyDescent="0.25">
      <c r="A1885" t="s">
        <v>324</v>
      </c>
      <c r="B1885" t="s">
        <v>88</v>
      </c>
      <c r="C1885" s="1">
        <v>45799</v>
      </c>
      <c r="D1885" t="s">
        <v>721</v>
      </c>
      <c r="E1885" t="s">
        <v>136</v>
      </c>
      <c r="F1885" t="s">
        <v>20</v>
      </c>
      <c r="G1885" s="14">
        <v>146817.72</v>
      </c>
      <c r="H1885">
        <v>1155</v>
      </c>
      <c r="I1885">
        <v>127.11</v>
      </c>
      <c r="J1885">
        <v>146817.72</v>
      </c>
    </row>
    <row r="1886" spans="1:10" hidden="1" x14ac:dyDescent="0.25">
      <c r="A1886" t="s">
        <v>324</v>
      </c>
      <c r="B1886" t="s">
        <v>88</v>
      </c>
      <c r="C1886" s="1">
        <v>45799</v>
      </c>
      <c r="D1886" t="s">
        <v>721</v>
      </c>
      <c r="E1886" t="s">
        <v>136</v>
      </c>
      <c r="F1886" t="s">
        <v>105</v>
      </c>
      <c r="G1886" s="14">
        <v>86226.28</v>
      </c>
      <c r="H1886">
        <v>1155</v>
      </c>
      <c r="I1886">
        <v>74.650000000000006</v>
      </c>
      <c r="J1886">
        <v>86226.28</v>
      </c>
    </row>
    <row r="1887" spans="1:10" hidden="1" x14ac:dyDescent="0.25">
      <c r="A1887" t="s">
        <v>473</v>
      </c>
      <c r="B1887" t="s">
        <v>470</v>
      </c>
      <c r="C1887" s="1">
        <v>45799</v>
      </c>
      <c r="D1887" t="s">
        <v>838</v>
      </c>
      <c r="E1887" t="s">
        <v>839</v>
      </c>
      <c r="F1887" t="s">
        <v>117</v>
      </c>
      <c r="G1887" s="14">
        <v>14833.7</v>
      </c>
      <c r="H1887">
        <v>1155</v>
      </c>
      <c r="I1887">
        <v>12.84</v>
      </c>
      <c r="J1887">
        <v>17948.78</v>
      </c>
    </row>
    <row r="1888" spans="1:10" hidden="1" x14ac:dyDescent="0.25">
      <c r="A1888" t="s">
        <v>216</v>
      </c>
      <c r="B1888" t="s">
        <v>88</v>
      </c>
      <c r="C1888" s="1">
        <v>45798</v>
      </c>
      <c r="D1888" t="s">
        <v>655</v>
      </c>
      <c r="E1888" t="s">
        <v>653</v>
      </c>
      <c r="F1888" t="s">
        <v>117</v>
      </c>
      <c r="G1888" s="14">
        <v>80578.509999999995</v>
      </c>
      <c r="H1888">
        <v>1160</v>
      </c>
      <c r="I1888">
        <v>69.459999999999994</v>
      </c>
      <c r="J1888">
        <v>97500</v>
      </c>
    </row>
    <row r="1889" spans="1:10" hidden="1" x14ac:dyDescent="0.25">
      <c r="A1889" t="s">
        <v>275</v>
      </c>
      <c r="B1889" t="s">
        <v>96</v>
      </c>
      <c r="C1889" s="1">
        <v>45798</v>
      </c>
      <c r="D1889" t="s">
        <v>692</v>
      </c>
      <c r="E1889" t="s">
        <v>693</v>
      </c>
      <c r="G1889" s="14">
        <v>1368118.49</v>
      </c>
      <c r="H1889">
        <v>1160</v>
      </c>
      <c r="I1889">
        <v>1179.4100000000001</v>
      </c>
      <c r="J1889">
        <v>1368118.49</v>
      </c>
    </row>
    <row r="1890" spans="1:10" hidden="1" x14ac:dyDescent="0.25">
      <c r="A1890" t="s">
        <v>281</v>
      </c>
      <c r="B1890" t="s">
        <v>88</v>
      </c>
      <c r="C1890" s="1">
        <v>45798</v>
      </c>
      <c r="D1890" t="s">
        <v>694</v>
      </c>
      <c r="E1890" t="s">
        <v>283</v>
      </c>
      <c r="F1890" t="s">
        <v>109</v>
      </c>
      <c r="G1890" s="14">
        <v>58570.25</v>
      </c>
      <c r="H1890">
        <v>1160</v>
      </c>
      <c r="I1890">
        <v>50.49</v>
      </c>
      <c r="J1890">
        <v>70870</v>
      </c>
    </row>
    <row r="1891" spans="1:10" hidden="1" x14ac:dyDescent="0.25">
      <c r="A1891" t="s">
        <v>712</v>
      </c>
      <c r="B1891" t="s">
        <v>88</v>
      </c>
      <c r="C1891" s="1">
        <v>45798</v>
      </c>
      <c r="D1891" t="s">
        <v>714</v>
      </c>
      <c r="E1891" t="s">
        <v>90</v>
      </c>
      <c r="F1891" t="s">
        <v>91</v>
      </c>
      <c r="G1891" s="14">
        <v>55600.08</v>
      </c>
      <c r="H1891">
        <v>1160</v>
      </c>
      <c r="I1891">
        <v>47.93</v>
      </c>
      <c r="J1891">
        <v>67276.11</v>
      </c>
    </row>
    <row r="1892" spans="1:10" hidden="1" x14ac:dyDescent="0.25">
      <c r="A1892" t="s">
        <v>712</v>
      </c>
      <c r="B1892" t="s">
        <v>88</v>
      </c>
      <c r="C1892" s="1">
        <v>45798</v>
      </c>
      <c r="D1892" t="s">
        <v>714</v>
      </c>
      <c r="E1892" t="s">
        <v>92</v>
      </c>
      <c r="F1892" t="s">
        <v>91</v>
      </c>
      <c r="G1892" s="14">
        <v>11653.88</v>
      </c>
      <c r="H1892">
        <v>1160</v>
      </c>
      <c r="I1892">
        <v>10.050000000000001</v>
      </c>
      <c r="J1892">
        <v>11653.88</v>
      </c>
    </row>
    <row r="1893" spans="1:10" hidden="1" x14ac:dyDescent="0.25">
      <c r="A1893" t="s">
        <v>497</v>
      </c>
      <c r="B1893" t="s">
        <v>88</v>
      </c>
      <c r="C1893" s="1">
        <v>45798</v>
      </c>
      <c r="D1893" t="s">
        <v>862</v>
      </c>
      <c r="E1893" t="s">
        <v>136</v>
      </c>
      <c r="F1893" t="s">
        <v>135</v>
      </c>
      <c r="G1893" s="14">
        <v>36699.4</v>
      </c>
      <c r="H1893">
        <v>1160</v>
      </c>
      <c r="I1893">
        <v>31.64</v>
      </c>
      <c r="J1893">
        <v>44406.27</v>
      </c>
    </row>
    <row r="1894" spans="1:10" hidden="1" x14ac:dyDescent="0.25">
      <c r="A1894" t="s">
        <v>497</v>
      </c>
      <c r="B1894" t="s">
        <v>88</v>
      </c>
      <c r="C1894" s="1">
        <v>45798</v>
      </c>
      <c r="D1894" t="s">
        <v>863</v>
      </c>
      <c r="E1894" t="s">
        <v>136</v>
      </c>
      <c r="F1894" t="s">
        <v>621</v>
      </c>
      <c r="G1894" s="14">
        <v>406335.42</v>
      </c>
      <c r="H1894">
        <v>1160</v>
      </c>
      <c r="I1894">
        <v>350.29</v>
      </c>
      <c r="J1894">
        <v>491665.86</v>
      </c>
    </row>
    <row r="1895" spans="1:10" hidden="1" x14ac:dyDescent="0.25">
      <c r="A1895" t="s">
        <v>869</v>
      </c>
      <c r="B1895" t="s">
        <v>88</v>
      </c>
      <c r="C1895" s="1">
        <v>45798</v>
      </c>
      <c r="D1895" t="s">
        <v>870</v>
      </c>
      <c r="E1895" t="s">
        <v>90</v>
      </c>
      <c r="F1895" t="s">
        <v>91</v>
      </c>
      <c r="G1895" s="14">
        <v>37983.97</v>
      </c>
      <c r="H1895">
        <v>1160</v>
      </c>
      <c r="I1895">
        <v>32.74</v>
      </c>
      <c r="J1895">
        <v>45960.61</v>
      </c>
    </row>
    <row r="1896" spans="1:10" hidden="1" x14ac:dyDescent="0.25">
      <c r="A1896" t="s">
        <v>869</v>
      </c>
      <c r="B1896" t="s">
        <v>88</v>
      </c>
      <c r="C1896" s="1">
        <v>45798</v>
      </c>
      <c r="D1896" t="s">
        <v>870</v>
      </c>
      <c r="E1896" t="s">
        <v>92</v>
      </c>
      <c r="F1896" t="s">
        <v>91</v>
      </c>
      <c r="G1896" s="14">
        <v>9742.33</v>
      </c>
      <c r="H1896">
        <v>1160</v>
      </c>
      <c r="I1896">
        <v>8.4</v>
      </c>
      <c r="J1896">
        <v>9742.33</v>
      </c>
    </row>
    <row r="1897" spans="1:10" hidden="1" x14ac:dyDescent="0.25">
      <c r="A1897" t="s">
        <v>182</v>
      </c>
      <c r="B1897" t="s">
        <v>88</v>
      </c>
      <c r="C1897" s="1">
        <v>45797</v>
      </c>
      <c r="D1897" t="s">
        <v>644</v>
      </c>
      <c r="E1897" t="s">
        <v>184</v>
      </c>
      <c r="F1897" t="s">
        <v>135</v>
      </c>
      <c r="G1897" s="14">
        <v>9926.0400000000009</v>
      </c>
      <c r="H1897">
        <v>1160</v>
      </c>
      <c r="I1897">
        <v>8.56</v>
      </c>
      <c r="J1897">
        <v>12010.51</v>
      </c>
    </row>
    <row r="1898" spans="1:10" hidden="1" x14ac:dyDescent="0.25">
      <c r="A1898" t="s">
        <v>207</v>
      </c>
      <c r="B1898" t="s">
        <v>96</v>
      </c>
      <c r="C1898" s="1">
        <v>45797</v>
      </c>
      <c r="D1898" t="s">
        <v>651</v>
      </c>
      <c r="E1898" t="s">
        <v>212</v>
      </c>
      <c r="F1898" t="s">
        <v>210</v>
      </c>
      <c r="G1898" s="14">
        <v>4285393.16</v>
      </c>
      <c r="H1898">
        <v>1160</v>
      </c>
      <c r="I1898">
        <v>3694.3</v>
      </c>
      <c r="J1898">
        <v>4285393.16</v>
      </c>
    </row>
    <row r="1899" spans="1:10" hidden="1" x14ac:dyDescent="0.25">
      <c r="A1899" t="s">
        <v>226</v>
      </c>
      <c r="B1899" t="s">
        <v>88</v>
      </c>
      <c r="C1899" s="1">
        <v>45797</v>
      </c>
      <c r="D1899" t="s">
        <v>658</v>
      </c>
      <c r="E1899" t="s">
        <v>228</v>
      </c>
      <c r="F1899" t="s">
        <v>109</v>
      </c>
      <c r="G1899" s="14">
        <v>157588.18</v>
      </c>
      <c r="H1899">
        <v>1160</v>
      </c>
      <c r="I1899">
        <v>135.85</v>
      </c>
      <c r="J1899">
        <v>200136.99</v>
      </c>
    </row>
    <row r="1900" spans="1:10" hidden="1" x14ac:dyDescent="0.25">
      <c r="A1900" t="s">
        <v>226</v>
      </c>
      <c r="B1900" t="s">
        <v>88</v>
      </c>
      <c r="C1900" s="1">
        <v>45797</v>
      </c>
      <c r="D1900" t="s">
        <v>658</v>
      </c>
      <c r="E1900" t="s">
        <v>229</v>
      </c>
      <c r="F1900" t="s">
        <v>109</v>
      </c>
      <c r="G1900" s="14">
        <v>54332.28</v>
      </c>
      <c r="H1900">
        <v>1160</v>
      </c>
      <c r="I1900">
        <v>46.84</v>
      </c>
      <c r="J1900">
        <v>54332.28</v>
      </c>
    </row>
    <row r="1901" spans="1:10" hidden="1" x14ac:dyDescent="0.25">
      <c r="A1901" t="s">
        <v>226</v>
      </c>
      <c r="B1901" t="s">
        <v>88</v>
      </c>
      <c r="C1901" s="1">
        <v>45797</v>
      </c>
      <c r="D1901" t="s">
        <v>659</v>
      </c>
      <c r="E1901" t="s">
        <v>228</v>
      </c>
      <c r="F1901" t="s">
        <v>109</v>
      </c>
      <c r="G1901" s="14">
        <v>159755.35999999999</v>
      </c>
      <c r="H1901">
        <v>1160</v>
      </c>
      <c r="I1901">
        <v>137.72</v>
      </c>
      <c r="J1901">
        <v>202889.31</v>
      </c>
    </row>
    <row r="1902" spans="1:10" hidden="1" x14ac:dyDescent="0.25">
      <c r="A1902" t="s">
        <v>226</v>
      </c>
      <c r="B1902" t="s">
        <v>88</v>
      </c>
      <c r="C1902" s="1">
        <v>45797</v>
      </c>
      <c r="D1902" t="s">
        <v>659</v>
      </c>
      <c r="E1902" t="s">
        <v>229</v>
      </c>
      <c r="F1902" t="s">
        <v>109</v>
      </c>
      <c r="G1902" s="14">
        <v>35946.51</v>
      </c>
      <c r="H1902">
        <v>1160</v>
      </c>
      <c r="I1902">
        <v>30.99</v>
      </c>
      <c r="J1902">
        <v>35946.51</v>
      </c>
    </row>
    <row r="1903" spans="1:10" hidden="1" x14ac:dyDescent="0.25">
      <c r="A1903" t="s">
        <v>372</v>
      </c>
      <c r="B1903" t="s">
        <v>88</v>
      </c>
      <c r="C1903" s="1">
        <v>45797</v>
      </c>
      <c r="D1903" t="s">
        <v>753</v>
      </c>
      <c r="E1903" t="s">
        <v>136</v>
      </c>
      <c r="F1903" t="s">
        <v>626</v>
      </c>
      <c r="G1903" s="14">
        <v>113906.03</v>
      </c>
      <c r="H1903">
        <v>1160</v>
      </c>
      <c r="I1903">
        <v>98.19</v>
      </c>
      <c r="J1903">
        <v>137826.29999999999</v>
      </c>
    </row>
    <row r="1904" spans="1:10" hidden="1" x14ac:dyDescent="0.25">
      <c r="A1904" t="s">
        <v>372</v>
      </c>
      <c r="B1904" t="s">
        <v>88</v>
      </c>
      <c r="C1904" s="1">
        <v>45797</v>
      </c>
      <c r="D1904" t="s">
        <v>754</v>
      </c>
      <c r="E1904" t="s">
        <v>136</v>
      </c>
      <c r="F1904" t="s">
        <v>626</v>
      </c>
      <c r="G1904" s="14">
        <v>10405.92</v>
      </c>
      <c r="H1904">
        <v>1160</v>
      </c>
      <c r="I1904">
        <v>8.9700000000000006</v>
      </c>
      <c r="J1904">
        <v>12591.16</v>
      </c>
    </row>
    <row r="1905" spans="1:10" hidden="1" x14ac:dyDescent="0.25">
      <c r="A1905" t="s">
        <v>533</v>
      </c>
      <c r="B1905" t="s">
        <v>88</v>
      </c>
      <c r="C1905" s="1">
        <v>45797</v>
      </c>
      <c r="D1905" t="s">
        <v>921</v>
      </c>
      <c r="E1905" t="s">
        <v>147</v>
      </c>
      <c r="G1905" s="14">
        <v>73.86</v>
      </c>
      <c r="H1905">
        <v>1160</v>
      </c>
      <c r="I1905">
        <v>0.06</v>
      </c>
      <c r="J1905">
        <v>73.86</v>
      </c>
    </row>
    <row r="1906" spans="1:10" hidden="1" x14ac:dyDescent="0.25">
      <c r="A1906" t="s">
        <v>533</v>
      </c>
      <c r="B1906" t="s">
        <v>88</v>
      </c>
      <c r="C1906" s="1">
        <v>45797</v>
      </c>
      <c r="D1906" t="s">
        <v>921</v>
      </c>
      <c r="E1906" t="s">
        <v>90</v>
      </c>
      <c r="G1906" s="14">
        <v>9443.08</v>
      </c>
      <c r="H1906">
        <v>1160</v>
      </c>
      <c r="I1906">
        <v>8.14</v>
      </c>
      <c r="J1906">
        <v>11426.14</v>
      </c>
    </row>
    <row r="1907" spans="1:10" hidden="1" x14ac:dyDescent="0.25">
      <c r="A1907" t="s">
        <v>319</v>
      </c>
      <c r="B1907" t="s">
        <v>88</v>
      </c>
      <c r="C1907" s="1">
        <v>45796</v>
      </c>
      <c r="D1907" t="s">
        <v>717</v>
      </c>
      <c r="E1907" t="s">
        <v>274</v>
      </c>
      <c r="F1907" t="s">
        <v>135</v>
      </c>
      <c r="G1907" s="14">
        <v>49779.81</v>
      </c>
      <c r="H1907">
        <v>1155</v>
      </c>
      <c r="I1907">
        <v>43.1</v>
      </c>
      <c r="J1907">
        <v>60233.57</v>
      </c>
    </row>
    <row r="1908" spans="1:10" hidden="1" x14ac:dyDescent="0.25">
      <c r="A1908" t="s">
        <v>112</v>
      </c>
      <c r="B1908" t="s">
        <v>88</v>
      </c>
      <c r="C1908" s="1">
        <v>45793</v>
      </c>
      <c r="D1908" t="s">
        <v>592</v>
      </c>
      <c r="E1908" t="s">
        <v>114</v>
      </c>
      <c r="F1908" t="s">
        <v>117</v>
      </c>
      <c r="G1908" s="14">
        <v>6297.9</v>
      </c>
      <c r="H1908">
        <v>1160</v>
      </c>
      <c r="I1908">
        <v>5.43</v>
      </c>
      <c r="J1908">
        <v>7620.46</v>
      </c>
    </row>
    <row r="1909" spans="1:10" hidden="1" x14ac:dyDescent="0.25">
      <c r="A1909" t="s">
        <v>353</v>
      </c>
      <c r="B1909" t="s">
        <v>88</v>
      </c>
      <c r="C1909" s="1">
        <v>45793</v>
      </c>
      <c r="D1909" t="s">
        <v>737</v>
      </c>
      <c r="E1909" t="s">
        <v>114</v>
      </c>
      <c r="F1909" t="s">
        <v>117</v>
      </c>
      <c r="G1909" s="14">
        <v>2277.25</v>
      </c>
      <c r="H1909">
        <v>1160</v>
      </c>
      <c r="I1909">
        <v>1.96</v>
      </c>
      <c r="J1909">
        <v>2755.47</v>
      </c>
    </row>
    <row r="1910" spans="1:10" hidden="1" x14ac:dyDescent="0.25">
      <c r="A1910" t="s">
        <v>510</v>
      </c>
      <c r="B1910" t="s">
        <v>96</v>
      </c>
      <c r="C1910" s="1">
        <v>45793</v>
      </c>
      <c r="D1910" t="s">
        <v>878</v>
      </c>
      <c r="E1910" t="s">
        <v>127</v>
      </c>
      <c r="F1910" t="s">
        <v>115</v>
      </c>
      <c r="G1910" s="14">
        <v>2494.0500000000002</v>
      </c>
      <c r="H1910">
        <v>1160</v>
      </c>
      <c r="I1910">
        <v>2.15</v>
      </c>
      <c r="J1910">
        <v>2494.0500000000002</v>
      </c>
    </row>
    <row r="1911" spans="1:10" hidden="1" x14ac:dyDescent="0.25">
      <c r="A1911" t="s">
        <v>240</v>
      </c>
      <c r="B1911" t="s">
        <v>88</v>
      </c>
      <c r="C1911" s="1">
        <v>45792</v>
      </c>
      <c r="D1911" t="s">
        <v>663</v>
      </c>
      <c r="E1911" t="s">
        <v>114</v>
      </c>
      <c r="F1911" t="s">
        <v>117</v>
      </c>
      <c r="G1911" s="14">
        <v>1239.67</v>
      </c>
      <c r="H1911">
        <v>1150</v>
      </c>
      <c r="I1911">
        <v>1.08</v>
      </c>
      <c r="J1911">
        <v>1500</v>
      </c>
    </row>
    <row r="1912" spans="1:10" hidden="1" x14ac:dyDescent="0.25">
      <c r="A1912" t="s">
        <v>333</v>
      </c>
      <c r="B1912" t="s">
        <v>88</v>
      </c>
      <c r="C1912" s="1">
        <v>45792</v>
      </c>
      <c r="D1912" t="s">
        <v>722</v>
      </c>
      <c r="E1912" t="s">
        <v>147</v>
      </c>
      <c r="F1912" t="s">
        <v>91</v>
      </c>
      <c r="G1912" s="14">
        <v>8619.91</v>
      </c>
      <c r="H1912">
        <v>1150</v>
      </c>
      <c r="I1912">
        <v>7.5</v>
      </c>
      <c r="J1912">
        <v>8619.91</v>
      </c>
    </row>
    <row r="1913" spans="1:10" hidden="1" x14ac:dyDescent="0.25">
      <c r="A1913" t="s">
        <v>333</v>
      </c>
      <c r="B1913" t="s">
        <v>88</v>
      </c>
      <c r="C1913" s="1">
        <v>45792</v>
      </c>
      <c r="D1913" t="s">
        <v>722</v>
      </c>
      <c r="E1913" t="s">
        <v>90</v>
      </c>
      <c r="F1913" t="s">
        <v>91</v>
      </c>
      <c r="G1913" s="14">
        <v>39326.550000000003</v>
      </c>
      <c r="H1913">
        <v>1150</v>
      </c>
      <c r="I1913">
        <v>34.200000000000003</v>
      </c>
      <c r="J1913">
        <v>47585.14</v>
      </c>
    </row>
    <row r="1914" spans="1:10" hidden="1" x14ac:dyDescent="0.25">
      <c r="A1914" t="s">
        <v>416</v>
      </c>
      <c r="B1914" t="s">
        <v>88</v>
      </c>
      <c r="C1914" s="1">
        <v>45792</v>
      </c>
      <c r="D1914" t="s">
        <v>790</v>
      </c>
      <c r="E1914" t="s">
        <v>205</v>
      </c>
      <c r="F1914" t="s">
        <v>109</v>
      </c>
      <c r="G1914" s="14">
        <v>9241.32</v>
      </c>
      <c r="H1914">
        <v>1150</v>
      </c>
      <c r="I1914">
        <v>8.0399999999999991</v>
      </c>
      <c r="J1914">
        <v>11182</v>
      </c>
    </row>
    <row r="1915" spans="1:10" hidden="1" x14ac:dyDescent="0.25">
      <c r="A1915" t="s">
        <v>416</v>
      </c>
      <c r="B1915" t="s">
        <v>88</v>
      </c>
      <c r="C1915" s="1">
        <v>45792</v>
      </c>
      <c r="D1915" t="s">
        <v>790</v>
      </c>
      <c r="E1915" t="s">
        <v>102</v>
      </c>
      <c r="F1915" t="s">
        <v>109</v>
      </c>
      <c r="G1915" s="14">
        <v>318</v>
      </c>
      <c r="H1915">
        <v>1150</v>
      </c>
      <c r="I1915">
        <v>0.28000000000000003</v>
      </c>
      <c r="J1915">
        <v>318</v>
      </c>
    </row>
    <row r="1916" spans="1:10" hidden="1" x14ac:dyDescent="0.25">
      <c r="A1916" t="s">
        <v>246</v>
      </c>
      <c r="B1916" t="s">
        <v>88</v>
      </c>
      <c r="C1916" s="1">
        <v>45791</v>
      </c>
      <c r="D1916" t="s">
        <v>669</v>
      </c>
      <c r="E1916" t="s">
        <v>114</v>
      </c>
      <c r="G1916" s="14">
        <v>32239.49</v>
      </c>
      <c r="H1916">
        <v>1150</v>
      </c>
      <c r="I1916">
        <v>28.03</v>
      </c>
      <c r="J1916">
        <v>39009.78</v>
      </c>
    </row>
    <row r="1917" spans="1:10" hidden="1" x14ac:dyDescent="0.25">
      <c r="A1917" t="s">
        <v>504</v>
      </c>
      <c r="B1917" t="s">
        <v>88</v>
      </c>
      <c r="C1917" s="1">
        <v>45791</v>
      </c>
      <c r="D1917" t="s">
        <v>874</v>
      </c>
      <c r="E1917" t="s">
        <v>506</v>
      </c>
      <c r="F1917" t="s">
        <v>109</v>
      </c>
      <c r="G1917" s="14">
        <v>223925</v>
      </c>
      <c r="H1917">
        <v>1150</v>
      </c>
      <c r="I1917">
        <v>194.72</v>
      </c>
      <c r="J1917">
        <v>284384.75</v>
      </c>
    </row>
    <row r="1918" spans="1:10" hidden="1" x14ac:dyDescent="0.25">
      <c r="A1918" t="s">
        <v>504</v>
      </c>
      <c r="B1918" t="s">
        <v>88</v>
      </c>
      <c r="C1918" s="1">
        <v>45791</v>
      </c>
      <c r="D1918" t="s">
        <v>874</v>
      </c>
      <c r="E1918" t="s">
        <v>507</v>
      </c>
      <c r="F1918" t="s">
        <v>109</v>
      </c>
      <c r="G1918" s="14">
        <v>11785.4</v>
      </c>
      <c r="H1918">
        <v>1150</v>
      </c>
      <c r="I1918">
        <v>10.25</v>
      </c>
      <c r="J1918">
        <v>11785.4</v>
      </c>
    </row>
    <row r="1919" spans="1:10" hidden="1" x14ac:dyDescent="0.25">
      <c r="A1919" t="s">
        <v>575</v>
      </c>
      <c r="B1919" t="s">
        <v>88</v>
      </c>
      <c r="C1919" s="1">
        <v>45790</v>
      </c>
      <c r="D1919" t="s">
        <v>576</v>
      </c>
      <c r="E1919" t="s">
        <v>136</v>
      </c>
      <c r="F1919" t="s">
        <v>10</v>
      </c>
      <c r="G1919" s="14">
        <v>61981.8</v>
      </c>
      <c r="H1919">
        <v>1150</v>
      </c>
      <c r="I1919">
        <v>53.9</v>
      </c>
      <c r="J1919">
        <v>74997.98</v>
      </c>
    </row>
    <row r="1920" spans="1:10" hidden="1" x14ac:dyDescent="0.25">
      <c r="A1920" t="s">
        <v>182</v>
      </c>
      <c r="B1920" t="s">
        <v>88</v>
      </c>
      <c r="C1920" s="1">
        <v>45790</v>
      </c>
      <c r="D1920" t="s">
        <v>642</v>
      </c>
      <c r="E1920" t="s">
        <v>184</v>
      </c>
      <c r="F1920" t="s">
        <v>9</v>
      </c>
      <c r="G1920" s="14">
        <v>15000</v>
      </c>
      <c r="H1920">
        <v>1150</v>
      </c>
      <c r="I1920">
        <v>13.04</v>
      </c>
      <c r="J1920">
        <v>18150</v>
      </c>
    </row>
    <row r="1921" spans="1:10" hidden="1" x14ac:dyDescent="0.25">
      <c r="A1921" t="s">
        <v>564</v>
      </c>
      <c r="B1921" t="s">
        <v>88</v>
      </c>
      <c r="C1921" s="1">
        <v>45789</v>
      </c>
      <c r="D1921" t="s">
        <v>566</v>
      </c>
      <c r="E1921" t="s">
        <v>297</v>
      </c>
      <c r="F1921" t="s">
        <v>9</v>
      </c>
      <c r="G1921" s="14">
        <v>172419.5</v>
      </c>
      <c r="H1921">
        <v>1150</v>
      </c>
      <c r="I1921">
        <v>149.93</v>
      </c>
      <c r="J1921">
        <v>208627.6</v>
      </c>
    </row>
    <row r="1922" spans="1:10" hidden="1" x14ac:dyDescent="0.25">
      <c r="A1922" t="s">
        <v>830</v>
      </c>
      <c r="B1922" t="s">
        <v>88</v>
      </c>
      <c r="C1922" s="1">
        <v>45788</v>
      </c>
      <c r="D1922" t="s">
        <v>831</v>
      </c>
      <c r="E1922" t="s">
        <v>90</v>
      </c>
      <c r="F1922" t="s">
        <v>91</v>
      </c>
      <c r="G1922" s="14">
        <v>72997.070000000007</v>
      </c>
      <c r="H1922">
        <v>1150</v>
      </c>
      <c r="I1922">
        <v>63.48</v>
      </c>
      <c r="J1922">
        <v>88326.46</v>
      </c>
    </row>
    <row r="1923" spans="1:10" hidden="1" x14ac:dyDescent="0.25">
      <c r="A1923" t="s">
        <v>830</v>
      </c>
      <c r="B1923" t="s">
        <v>88</v>
      </c>
      <c r="C1923" s="1">
        <v>45788</v>
      </c>
      <c r="D1923" t="s">
        <v>831</v>
      </c>
      <c r="E1923" t="s">
        <v>92</v>
      </c>
      <c r="F1923" t="s">
        <v>91</v>
      </c>
      <c r="G1923" s="14">
        <v>11683.6</v>
      </c>
      <c r="H1923">
        <v>1150</v>
      </c>
      <c r="I1923">
        <v>10.16</v>
      </c>
      <c r="J1923">
        <v>11683.6</v>
      </c>
    </row>
    <row r="1924" spans="1:10" hidden="1" x14ac:dyDescent="0.25">
      <c r="A1924" t="s">
        <v>132</v>
      </c>
      <c r="B1924" t="s">
        <v>88</v>
      </c>
      <c r="C1924" s="1">
        <v>45786</v>
      </c>
      <c r="D1924" t="s">
        <v>602</v>
      </c>
      <c r="E1924" t="s">
        <v>136</v>
      </c>
      <c r="F1924" t="s">
        <v>135</v>
      </c>
      <c r="G1924" s="14">
        <v>51580.5</v>
      </c>
      <c r="H1924">
        <v>1150</v>
      </c>
      <c r="I1924">
        <v>44.85</v>
      </c>
      <c r="J1924">
        <v>62412.41</v>
      </c>
    </row>
    <row r="1925" spans="1:10" hidden="1" x14ac:dyDescent="0.25">
      <c r="A1925" t="s">
        <v>295</v>
      </c>
      <c r="B1925" t="s">
        <v>88</v>
      </c>
      <c r="C1925" s="1">
        <v>45786</v>
      </c>
      <c r="D1925" t="s">
        <v>701</v>
      </c>
      <c r="E1925" t="s">
        <v>297</v>
      </c>
      <c r="F1925" t="s">
        <v>9</v>
      </c>
      <c r="G1925" s="14">
        <v>26009.919999999998</v>
      </c>
      <c r="H1925">
        <v>1150</v>
      </c>
      <c r="I1925">
        <v>22.62</v>
      </c>
      <c r="J1925">
        <v>31472</v>
      </c>
    </row>
    <row r="1926" spans="1:10" hidden="1" x14ac:dyDescent="0.25">
      <c r="A1926" t="s">
        <v>466</v>
      </c>
      <c r="B1926" t="s">
        <v>470</v>
      </c>
      <c r="C1926" s="1">
        <v>45786</v>
      </c>
      <c r="D1926" t="s">
        <v>834</v>
      </c>
      <c r="E1926" t="s">
        <v>136</v>
      </c>
      <c r="F1926" t="s">
        <v>135</v>
      </c>
      <c r="G1926" s="14">
        <v>13157.59</v>
      </c>
      <c r="H1926">
        <v>1150</v>
      </c>
      <c r="I1926">
        <v>11.44</v>
      </c>
      <c r="J1926">
        <v>15920.68</v>
      </c>
    </row>
    <row r="1927" spans="1:10" hidden="1" x14ac:dyDescent="0.25">
      <c r="A1927" t="s">
        <v>81</v>
      </c>
      <c r="B1927" t="s">
        <v>208</v>
      </c>
      <c r="C1927" s="1">
        <v>45785</v>
      </c>
      <c r="D1927" t="s">
        <v>569</v>
      </c>
      <c r="E1927" t="s">
        <v>84</v>
      </c>
      <c r="F1927" t="s">
        <v>9</v>
      </c>
      <c r="G1927" s="14">
        <v>898159.72</v>
      </c>
      <c r="H1927">
        <v>1130</v>
      </c>
      <c r="I1927">
        <v>794.83</v>
      </c>
      <c r="J1927">
        <v>898159.72</v>
      </c>
    </row>
    <row r="1928" spans="1:10" hidden="1" x14ac:dyDescent="0.25">
      <c r="A1928" t="s">
        <v>81</v>
      </c>
      <c r="B1928" t="s">
        <v>208</v>
      </c>
      <c r="C1928" s="1">
        <v>45785</v>
      </c>
      <c r="D1928" t="s">
        <v>569</v>
      </c>
      <c r="E1928" t="s">
        <v>570</v>
      </c>
      <c r="G1928" s="14">
        <v>0</v>
      </c>
      <c r="H1928">
        <v>1130</v>
      </c>
      <c r="I1928">
        <v>0</v>
      </c>
      <c r="J1928">
        <v>1166475.96</v>
      </c>
    </row>
    <row r="1929" spans="1:10" hidden="1" x14ac:dyDescent="0.25">
      <c r="A1929" t="s">
        <v>572</v>
      </c>
      <c r="B1929" t="s">
        <v>88</v>
      </c>
      <c r="C1929" s="1">
        <v>45785</v>
      </c>
      <c r="D1929" t="s">
        <v>573</v>
      </c>
      <c r="E1929" t="s">
        <v>90</v>
      </c>
      <c r="F1929" t="s">
        <v>91</v>
      </c>
      <c r="G1929" s="14">
        <v>82644.91</v>
      </c>
      <c r="H1929">
        <v>1130</v>
      </c>
      <c r="I1929">
        <v>73.14</v>
      </c>
      <c r="J1929">
        <v>100000.35</v>
      </c>
    </row>
    <row r="1930" spans="1:10" hidden="1" x14ac:dyDescent="0.25">
      <c r="A1930" t="s">
        <v>572</v>
      </c>
      <c r="B1930" t="s">
        <v>88</v>
      </c>
      <c r="C1930" s="1">
        <v>45785</v>
      </c>
      <c r="D1930" t="s">
        <v>574</v>
      </c>
      <c r="E1930" t="s">
        <v>90</v>
      </c>
      <c r="F1930" t="s">
        <v>91</v>
      </c>
      <c r="G1930" s="14">
        <v>82644.91</v>
      </c>
      <c r="H1930">
        <v>1130</v>
      </c>
      <c r="I1930">
        <v>73.14</v>
      </c>
      <c r="J1930">
        <v>100000.34</v>
      </c>
    </row>
    <row r="1931" spans="1:10" hidden="1" x14ac:dyDescent="0.25">
      <c r="A1931" t="s">
        <v>182</v>
      </c>
      <c r="B1931" t="s">
        <v>88</v>
      </c>
      <c r="C1931" s="1">
        <v>45785</v>
      </c>
      <c r="D1931" t="s">
        <v>638</v>
      </c>
      <c r="E1931" t="s">
        <v>184</v>
      </c>
      <c r="F1931" t="s">
        <v>621</v>
      </c>
      <c r="G1931" s="14">
        <v>30000</v>
      </c>
      <c r="H1931">
        <v>1130</v>
      </c>
      <c r="I1931">
        <v>26.55</v>
      </c>
      <c r="J1931">
        <v>36300</v>
      </c>
    </row>
    <row r="1932" spans="1:10" hidden="1" x14ac:dyDescent="0.25">
      <c r="A1932" t="s">
        <v>473</v>
      </c>
      <c r="B1932" t="s">
        <v>88</v>
      </c>
      <c r="C1932" s="1">
        <v>45785</v>
      </c>
      <c r="D1932" t="s">
        <v>836</v>
      </c>
      <c r="E1932" t="s">
        <v>152</v>
      </c>
      <c r="G1932" s="14">
        <v>20151</v>
      </c>
      <c r="H1932">
        <v>1130</v>
      </c>
      <c r="I1932">
        <v>17.829999999999998</v>
      </c>
      <c r="J1932">
        <v>24382.71</v>
      </c>
    </row>
    <row r="1933" spans="1:10" hidden="1" x14ac:dyDescent="0.25">
      <c r="A1933" t="s">
        <v>473</v>
      </c>
      <c r="B1933" t="s">
        <v>88</v>
      </c>
      <c r="C1933" s="1">
        <v>45785</v>
      </c>
      <c r="D1933" t="s">
        <v>836</v>
      </c>
      <c r="E1933" t="s">
        <v>153</v>
      </c>
      <c r="G1933" s="14">
        <v>207.77</v>
      </c>
      <c r="H1933">
        <v>1130</v>
      </c>
      <c r="I1933">
        <v>0.18</v>
      </c>
      <c r="J1933">
        <v>207.77</v>
      </c>
    </row>
    <row r="1934" spans="1:10" hidden="1" x14ac:dyDescent="0.25">
      <c r="A1934" t="s">
        <v>490</v>
      </c>
      <c r="B1934" t="s">
        <v>96</v>
      </c>
      <c r="C1934" s="1">
        <v>45785</v>
      </c>
      <c r="D1934" t="s">
        <v>854</v>
      </c>
      <c r="E1934" t="s">
        <v>84</v>
      </c>
      <c r="F1934" t="s">
        <v>855</v>
      </c>
      <c r="G1934" s="14">
        <v>1327.62</v>
      </c>
      <c r="H1934">
        <v>1130</v>
      </c>
      <c r="I1934">
        <v>1.17</v>
      </c>
      <c r="J1934">
        <v>1327.62</v>
      </c>
    </row>
    <row r="1935" spans="1:10" hidden="1" x14ac:dyDescent="0.25">
      <c r="A1935" t="s">
        <v>490</v>
      </c>
      <c r="B1935" t="s">
        <v>96</v>
      </c>
      <c r="C1935" s="1">
        <v>45785</v>
      </c>
      <c r="D1935" t="s">
        <v>856</v>
      </c>
      <c r="E1935" t="s">
        <v>84</v>
      </c>
      <c r="F1935" t="s">
        <v>9</v>
      </c>
      <c r="G1935" s="14">
        <v>9932.06</v>
      </c>
      <c r="H1935">
        <v>1130</v>
      </c>
      <c r="I1935">
        <v>8.7899999999999991</v>
      </c>
      <c r="J1935">
        <v>9932.06</v>
      </c>
    </row>
    <row r="1936" spans="1:10" hidden="1" x14ac:dyDescent="0.25">
      <c r="A1936" t="s">
        <v>497</v>
      </c>
      <c r="B1936" t="s">
        <v>88</v>
      </c>
      <c r="C1936" s="1">
        <v>45785</v>
      </c>
      <c r="D1936" t="s">
        <v>857</v>
      </c>
      <c r="E1936" t="s">
        <v>136</v>
      </c>
      <c r="F1936" t="s">
        <v>9</v>
      </c>
      <c r="G1936" s="14">
        <v>25543.75</v>
      </c>
      <c r="H1936">
        <v>1130</v>
      </c>
      <c r="I1936">
        <v>22.61</v>
      </c>
      <c r="J1936">
        <v>30907.94</v>
      </c>
    </row>
    <row r="1937" spans="1:10" hidden="1" x14ac:dyDescent="0.25">
      <c r="A1937" t="s">
        <v>515</v>
      </c>
      <c r="B1937" t="s">
        <v>88</v>
      </c>
      <c r="C1937" s="1">
        <v>45785</v>
      </c>
      <c r="D1937" t="s">
        <v>892</v>
      </c>
      <c r="E1937" t="s">
        <v>184</v>
      </c>
      <c r="F1937" t="s">
        <v>621</v>
      </c>
      <c r="G1937" s="14">
        <v>34724</v>
      </c>
      <c r="H1937">
        <v>1130</v>
      </c>
      <c r="I1937">
        <v>30.73</v>
      </c>
      <c r="J1937">
        <v>42016.04</v>
      </c>
    </row>
    <row r="1938" spans="1:10" hidden="1" x14ac:dyDescent="0.25">
      <c r="A1938" t="s">
        <v>246</v>
      </c>
      <c r="B1938" t="s">
        <v>88</v>
      </c>
      <c r="C1938" s="1">
        <v>45784</v>
      </c>
      <c r="D1938" t="s">
        <v>666</v>
      </c>
      <c r="E1938" t="s">
        <v>114</v>
      </c>
      <c r="F1938" t="s">
        <v>117</v>
      </c>
      <c r="G1938" s="14">
        <v>2079.9699999999998</v>
      </c>
      <c r="H1938">
        <v>1140</v>
      </c>
      <c r="I1938">
        <v>1.82</v>
      </c>
      <c r="J1938">
        <v>2516.7600000000002</v>
      </c>
    </row>
    <row r="1939" spans="1:10" hidden="1" x14ac:dyDescent="0.25">
      <c r="A1939" t="s">
        <v>346</v>
      </c>
      <c r="B1939" t="s">
        <v>88</v>
      </c>
      <c r="C1939" s="1">
        <v>45784</v>
      </c>
      <c r="D1939" t="s">
        <v>732</v>
      </c>
      <c r="E1939" t="s">
        <v>90</v>
      </c>
      <c r="F1939" t="s">
        <v>91</v>
      </c>
      <c r="G1939" s="14">
        <v>109511.43</v>
      </c>
      <c r="H1939">
        <v>1140</v>
      </c>
      <c r="I1939">
        <v>96.06</v>
      </c>
      <c r="J1939">
        <v>132508.82999999999</v>
      </c>
    </row>
    <row r="1940" spans="1:10" hidden="1" x14ac:dyDescent="0.25">
      <c r="A1940" t="s">
        <v>346</v>
      </c>
      <c r="B1940" t="s">
        <v>88</v>
      </c>
      <c r="C1940" s="1">
        <v>45784</v>
      </c>
      <c r="D1940" t="s">
        <v>732</v>
      </c>
      <c r="E1940" t="s">
        <v>92</v>
      </c>
      <c r="F1940" t="s">
        <v>91</v>
      </c>
      <c r="G1940" s="14">
        <v>17527.93</v>
      </c>
      <c r="H1940">
        <v>1140</v>
      </c>
      <c r="I1940">
        <v>15.38</v>
      </c>
      <c r="J1940">
        <v>17527.93</v>
      </c>
    </row>
    <row r="1941" spans="1:10" hidden="1" x14ac:dyDescent="0.25">
      <c r="A1941" t="s">
        <v>759</v>
      </c>
      <c r="B1941" t="s">
        <v>88</v>
      </c>
      <c r="C1941" s="1">
        <v>45784</v>
      </c>
      <c r="D1941" t="s">
        <v>760</v>
      </c>
      <c r="E1941" t="s">
        <v>205</v>
      </c>
      <c r="F1941" t="s">
        <v>11</v>
      </c>
      <c r="G1941" s="14">
        <v>1294500</v>
      </c>
      <c r="H1941">
        <v>1140</v>
      </c>
      <c r="I1941">
        <v>1135.53</v>
      </c>
      <c r="J1941">
        <v>1566345</v>
      </c>
    </row>
    <row r="1942" spans="1:10" hidden="1" x14ac:dyDescent="0.25">
      <c r="A1942" t="s">
        <v>443</v>
      </c>
      <c r="B1942" t="s">
        <v>88</v>
      </c>
      <c r="C1942" s="1">
        <v>45784</v>
      </c>
      <c r="D1942" t="s">
        <v>818</v>
      </c>
      <c r="E1942" t="s">
        <v>90</v>
      </c>
      <c r="F1942" t="s">
        <v>91</v>
      </c>
      <c r="G1942" s="14">
        <v>52032.639999999999</v>
      </c>
      <c r="H1942">
        <v>1140</v>
      </c>
      <c r="I1942">
        <v>45.64</v>
      </c>
      <c r="J1942">
        <v>62959.5</v>
      </c>
    </row>
    <row r="1943" spans="1:10" hidden="1" x14ac:dyDescent="0.25">
      <c r="A1943" t="s">
        <v>443</v>
      </c>
      <c r="B1943" t="s">
        <v>88</v>
      </c>
      <c r="C1943" s="1">
        <v>45784</v>
      </c>
      <c r="D1943" t="s">
        <v>818</v>
      </c>
      <c r="E1943" t="s">
        <v>92</v>
      </c>
      <c r="F1943" t="s">
        <v>91</v>
      </c>
      <c r="G1943" s="14">
        <v>11284.45</v>
      </c>
      <c r="H1943">
        <v>1140</v>
      </c>
      <c r="I1943">
        <v>9.9</v>
      </c>
      <c r="J1943">
        <v>11284.45</v>
      </c>
    </row>
    <row r="1944" spans="1:10" hidden="1" x14ac:dyDescent="0.25">
      <c r="A1944" t="s">
        <v>527</v>
      </c>
      <c r="B1944" t="s">
        <v>88</v>
      </c>
      <c r="C1944" s="1">
        <v>45784</v>
      </c>
      <c r="D1944" t="s">
        <v>906</v>
      </c>
      <c r="E1944" t="s">
        <v>184</v>
      </c>
      <c r="F1944" t="s">
        <v>9</v>
      </c>
      <c r="G1944" s="14">
        <v>543787.5</v>
      </c>
      <c r="H1944">
        <v>1140</v>
      </c>
      <c r="I1944">
        <v>477.01</v>
      </c>
      <c r="J1944">
        <v>657989.25</v>
      </c>
    </row>
    <row r="1945" spans="1:10" hidden="1" x14ac:dyDescent="0.25">
      <c r="A1945" t="s">
        <v>527</v>
      </c>
      <c r="B1945" t="s">
        <v>88</v>
      </c>
      <c r="C1945" s="1">
        <v>45784</v>
      </c>
      <c r="D1945" t="s">
        <v>906</v>
      </c>
      <c r="E1945" t="s">
        <v>786</v>
      </c>
      <c r="G1945" s="14">
        <v>581769.75</v>
      </c>
      <c r="H1945">
        <v>1140</v>
      </c>
      <c r="I1945">
        <v>510.32</v>
      </c>
      <c r="J1945">
        <v>581769.75</v>
      </c>
    </row>
    <row r="1946" spans="1:10" hidden="1" x14ac:dyDescent="0.25">
      <c r="A1946" t="s">
        <v>175</v>
      </c>
      <c r="B1946" t="s">
        <v>88</v>
      </c>
      <c r="C1946" s="1">
        <v>45783</v>
      </c>
      <c r="D1946" t="s">
        <v>633</v>
      </c>
      <c r="E1946" t="s">
        <v>177</v>
      </c>
      <c r="F1946" t="s">
        <v>109</v>
      </c>
      <c r="G1946" s="14">
        <v>16097</v>
      </c>
      <c r="H1946">
        <v>1215</v>
      </c>
      <c r="I1946">
        <v>13.25</v>
      </c>
      <c r="J1946">
        <v>20443.189999999999</v>
      </c>
    </row>
    <row r="1947" spans="1:10" hidden="1" x14ac:dyDescent="0.25">
      <c r="A1947" t="s">
        <v>175</v>
      </c>
      <c r="B1947" t="s">
        <v>88</v>
      </c>
      <c r="C1947" s="1">
        <v>45783</v>
      </c>
      <c r="D1947" t="s">
        <v>633</v>
      </c>
      <c r="E1947" t="s">
        <v>180</v>
      </c>
      <c r="F1947" t="s">
        <v>109</v>
      </c>
      <c r="G1947" s="14">
        <v>82.31</v>
      </c>
      <c r="H1947">
        <v>1215</v>
      </c>
      <c r="I1947">
        <v>7.0000000000000007E-2</v>
      </c>
      <c r="J1947">
        <v>82.31</v>
      </c>
    </row>
    <row r="1948" spans="1:10" hidden="1" x14ac:dyDescent="0.25">
      <c r="A1948" t="s">
        <v>319</v>
      </c>
      <c r="B1948" t="s">
        <v>88</v>
      </c>
      <c r="C1948" s="1">
        <v>45783</v>
      </c>
      <c r="D1948" t="s">
        <v>715</v>
      </c>
      <c r="E1948" t="s">
        <v>136</v>
      </c>
      <c r="F1948" t="s">
        <v>135</v>
      </c>
      <c r="G1948" s="14">
        <v>40995</v>
      </c>
      <c r="H1948">
        <v>1215</v>
      </c>
      <c r="I1948">
        <v>33.74</v>
      </c>
      <c r="J1948">
        <v>49603.95</v>
      </c>
    </row>
    <row r="1949" spans="1:10" hidden="1" x14ac:dyDescent="0.25">
      <c r="A1949" t="s">
        <v>319</v>
      </c>
      <c r="B1949" t="s">
        <v>88</v>
      </c>
      <c r="C1949" s="1">
        <v>45783</v>
      </c>
      <c r="D1949" t="s">
        <v>716</v>
      </c>
      <c r="E1949" t="s">
        <v>136</v>
      </c>
      <c r="F1949" t="s">
        <v>135</v>
      </c>
      <c r="G1949" s="14">
        <v>8199</v>
      </c>
      <c r="H1949">
        <v>1215</v>
      </c>
      <c r="I1949">
        <v>6.75</v>
      </c>
      <c r="J1949">
        <v>9920.7900000000009</v>
      </c>
    </row>
    <row r="1950" spans="1:10" hidden="1" x14ac:dyDescent="0.25">
      <c r="A1950" t="s">
        <v>343</v>
      </c>
      <c r="B1950" t="s">
        <v>88</v>
      </c>
      <c r="C1950" s="1">
        <v>45783</v>
      </c>
      <c r="D1950" t="s">
        <v>727</v>
      </c>
      <c r="E1950" t="s">
        <v>136</v>
      </c>
      <c r="F1950" t="s">
        <v>10</v>
      </c>
      <c r="G1950" s="14">
        <v>4914.05</v>
      </c>
      <c r="H1950">
        <v>1215</v>
      </c>
      <c r="I1950">
        <v>4.04</v>
      </c>
      <c r="J1950">
        <v>5946</v>
      </c>
    </row>
    <row r="1951" spans="1:10" hidden="1" x14ac:dyDescent="0.25">
      <c r="A1951" t="s">
        <v>426</v>
      </c>
      <c r="B1951" t="s">
        <v>88</v>
      </c>
      <c r="C1951" s="1">
        <v>45783</v>
      </c>
      <c r="D1951" t="s">
        <v>802</v>
      </c>
      <c r="E1951" t="s">
        <v>136</v>
      </c>
      <c r="F1951" t="s">
        <v>621</v>
      </c>
      <c r="G1951" s="14">
        <v>343807.77</v>
      </c>
      <c r="H1951">
        <v>1215</v>
      </c>
      <c r="I1951">
        <v>282.97000000000003</v>
      </c>
      <c r="J1951">
        <v>416007.4</v>
      </c>
    </row>
    <row r="1952" spans="1:10" hidden="1" x14ac:dyDescent="0.25">
      <c r="A1952" t="s">
        <v>443</v>
      </c>
      <c r="B1952" t="s">
        <v>88</v>
      </c>
      <c r="C1952" s="1">
        <v>45783</v>
      </c>
      <c r="D1952" t="s">
        <v>817</v>
      </c>
      <c r="E1952" t="s">
        <v>90</v>
      </c>
      <c r="F1952" t="s">
        <v>91</v>
      </c>
      <c r="G1952" s="14">
        <v>46780.25</v>
      </c>
      <c r="H1952">
        <v>1215</v>
      </c>
      <c r="I1952">
        <v>38.5</v>
      </c>
      <c r="J1952">
        <v>56604.1</v>
      </c>
    </row>
    <row r="1953" spans="1:10" hidden="1" x14ac:dyDescent="0.25">
      <c r="A1953" t="s">
        <v>443</v>
      </c>
      <c r="B1953" t="s">
        <v>88</v>
      </c>
      <c r="C1953" s="1">
        <v>45783</v>
      </c>
      <c r="D1953" t="s">
        <v>817</v>
      </c>
      <c r="E1953" t="s">
        <v>92</v>
      </c>
      <c r="F1953" t="s">
        <v>91</v>
      </c>
      <c r="G1953" s="14">
        <v>10400.84</v>
      </c>
      <c r="H1953">
        <v>1215</v>
      </c>
      <c r="I1953">
        <v>8.56</v>
      </c>
      <c r="J1953">
        <v>10400.84</v>
      </c>
    </row>
    <row r="1954" spans="1:10" hidden="1" x14ac:dyDescent="0.25">
      <c r="A1954" t="s">
        <v>533</v>
      </c>
      <c r="B1954" t="s">
        <v>88</v>
      </c>
      <c r="C1954" s="1">
        <v>45783</v>
      </c>
      <c r="D1954" t="s">
        <v>915</v>
      </c>
      <c r="E1954" t="s">
        <v>90</v>
      </c>
      <c r="F1954" t="s">
        <v>91</v>
      </c>
      <c r="G1954" s="14">
        <v>9112.5</v>
      </c>
      <c r="H1954">
        <v>1215</v>
      </c>
      <c r="I1954">
        <v>7.5</v>
      </c>
      <c r="J1954">
        <v>11026.12</v>
      </c>
    </row>
    <row r="1955" spans="1:10" hidden="1" x14ac:dyDescent="0.25">
      <c r="A1955" t="s">
        <v>533</v>
      </c>
      <c r="B1955" t="s">
        <v>88</v>
      </c>
      <c r="C1955" s="1">
        <v>45783</v>
      </c>
      <c r="D1955" t="s">
        <v>915</v>
      </c>
      <c r="E1955" t="s">
        <v>92</v>
      </c>
      <c r="F1955" t="s">
        <v>91</v>
      </c>
      <c r="G1955" s="14">
        <v>73.88</v>
      </c>
      <c r="H1955">
        <v>1215</v>
      </c>
      <c r="I1955">
        <v>0.06</v>
      </c>
      <c r="J1955">
        <v>73.88</v>
      </c>
    </row>
    <row r="1956" spans="1:10" hidden="1" x14ac:dyDescent="0.25">
      <c r="A1956" t="s">
        <v>106</v>
      </c>
      <c r="B1956" t="s">
        <v>88</v>
      </c>
      <c r="C1956" s="1">
        <v>45782</v>
      </c>
      <c r="D1956" t="s">
        <v>587</v>
      </c>
      <c r="E1956" t="s">
        <v>108</v>
      </c>
      <c r="F1956" t="s">
        <v>109</v>
      </c>
      <c r="G1956" s="14">
        <v>46788</v>
      </c>
      <c r="H1956">
        <v>1210</v>
      </c>
      <c r="I1956">
        <v>38.67</v>
      </c>
      <c r="J1956">
        <v>46788</v>
      </c>
    </row>
    <row r="1957" spans="1:10" hidden="1" x14ac:dyDescent="0.25">
      <c r="A1957" t="s">
        <v>697</v>
      </c>
      <c r="B1957" t="s">
        <v>88</v>
      </c>
      <c r="C1957" s="1">
        <v>45782</v>
      </c>
      <c r="D1957" t="s">
        <v>698</v>
      </c>
      <c r="E1957" t="s">
        <v>136</v>
      </c>
      <c r="F1957" t="s">
        <v>135</v>
      </c>
      <c r="G1957" s="14">
        <v>284714.64</v>
      </c>
      <c r="H1957">
        <v>1210</v>
      </c>
      <c r="I1957">
        <v>235.3</v>
      </c>
      <c r="J1957">
        <v>344504.71</v>
      </c>
    </row>
    <row r="1958" spans="1:10" hidden="1" x14ac:dyDescent="0.25">
      <c r="A1958" t="s">
        <v>426</v>
      </c>
      <c r="B1958" t="s">
        <v>88</v>
      </c>
      <c r="C1958" s="1">
        <v>45782</v>
      </c>
      <c r="D1958" t="s">
        <v>800</v>
      </c>
      <c r="E1958" t="s">
        <v>136</v>
      </c>
      <c r="F1958" t="s">
        <v>621</v>
      </c>
      <c r="G1958" s="14">
        <v>249711.93</v>
      </c>
      <c r="H1958">
        <v>1210</v>
      </c>
      <c r="I1958">
        <v>206.37</v>
      </c>
      <c r="J1958">
        <v>302151.44</v>
      </c>
    </row>
    <row r="1959" spans="1:10" hidden="1" x14ac:dyDescent="0.25">
      <c r="A1959" t="s">
        <v>438</v>
      </c>
      <c r="B1959" t="s">
        <v>88</v>
      </c>
      <c r="C1959" s="1">
        <v>45782</v>
      </c>
      <c r="D1959" t="s">
        <v>814</v>
      </c>
      <c r="E1959" t="s">
        <v>205</v>
      </c>
      <c r="F1959" t="s">
        <v>109</v>
      </c>
      <c r="G1959" s="14">
        <v>180000</v>
      </c>
      <c r="H1959">
        <v>1210</v>
      </c>
      <c r="I1959">
        <v>148.76</v>
      </c>
      <c r="J1959">
        <v>180000</v>
      </c>
    </row>
    <row r="1960" spans="1:10" hidden="1" x14ac:dyDescent="0.25">
      <c r="A1960" t="s">
        <v>473</v>
      </c>
      <c r="B1960" t="s">
        <v>88</v>
      </c>
      <c r="C1960" s="1">
        <v>45782</v>
      </c>
      <c r="D1960" t="s">
        <v>835</v>
      </c>
      <c r="E1960" t="s">
        <v>152</v>
      </c>
      <c r="F1960" t="s">
        <v>117</v>
      </c>
      <c r="G1960" s="14">
        <v>2104418.44</v>
      </c>
      <c r="H1960">
        <v>1210</v>
      </c>
      <c r="I1960">
        <v>1739.19</v>
      </c>
      <c r="J1960">
        <v>2546346.31</v>
      </c>
    </row>
    <row r="1961" spans="1:10" hidden="1" x14ac:dyDescent="0.25">
      <c r="A1961" t="s">
        <v>473</v>
      </c>
      <c r="B1961" t="s">
        <v>88</v>
      </c>
      <c r="C1961" s="1">
        <v>45782</v>
      </c>
      <c r="D1961" t="s">
        <v>835</v>
      </c>
      <c r="E1961" t="s">
        <v>153</v>
      </c>
      <c r="F1961" t="s">
        <v>117</v>
      </c>
      <c r="G1961" s="14">
        <v>78166.55</v>
      </c>
      <c r="H1961">
        <v>1210</v>
      </c>
      <c r="I1961">
        <v>64.599999999999994</v>
      </c>
      <c r="J1961">
        <v>78166.55</v>
      </c>
    </row>
    <row r="1962" spans="1:10" hidden="1" x14ac:dyDescent="0.25">
      <c r="A1962" t="s">
        <v>501</v>
      </c>
      <c r="B1962" t="s">
        <v>88</v>
      </c>
      <c r="C1962" s="1">
        <v>45782</v>
      </c>
      <c r="D1962" t="s">
        <v>866</v>
      </c>
      <c r="E1962" t="s">
        <v>205</v>
      </c>
      <c r="F1962" t="s">
        <v>109</v>
      </c>
      <c r="G1962" s="14">
        <v>205931.32</v>
      </c>
      <c r="H1962">
        <v>1210</v>
      </c>
      <c r="I1962">
        <v>170.19</v>
      </c>
      <c r="J1962">
        <v>249176.9</v>
      </c>
    </row>
    <row r="1963" spans="1:10" hidden="1" x14ac:dyDescent="0.25">
      <c r="A1963" t="s">
        <v>884</v>
      </c>
      <c r="B1963" t="s">
        <v>88</v>
      </c>
      <c r="C1963" s="1">
        <v>45782</v>
      </c>
      <c r="D1963" t="s">
        <v>885</v>
      </c>
      <c r="E1963" t="s">
        <v>136</v>
      </c>
      <c r="F1963" t="s">
        <v>621</v>
      </c>
      <c r="G1963" s="14">
        <v>633070</v>
      </c>
      <c r="H1963">
        <v>1210</v>
      </c>
      <c r="I1963">
        <v>523.20000000000005</v>
      </c>
      <c r="J1963">
        <v>766014.7</v>
      </c>
    </row>
    <row r="1964" spans="1:10" hidden="1" x14ac:dyDescent="0.25">
      <c r="A1964" t="s">
        <v>510</v>
      </c>
      <c r="B1964" t="s">
        <v>96</v>
      </c>
      <c r="C1964" s="1">
        <v>45781</v>
      </c>
      <c r="D1964" t="s">
        <v>877</v>
      </c>
      <c r="E1964" t="s">
        <v>127</v>
      </c>
      <c r="F1964" t="s">
        <v>115</v>
      </c>
      <c r="G1964" s="14">
        <v>814.27</v>
      </c>
      <c r="H1964">
        <v>1190</v>
      </c>
      <c r="I1964">
        <v>0.68</v>
      </c>
      <c r="J1964">
        <v>814.27</v>
      </c>
    </row>
    <row r="1965" spans="1:10" hidden="1" x14ac:dyDescent="0.25">
      <c r="A1965" t="s">
        <v>383</v>
      </c>
      <c r="B1965" t="s">
        <v>88</v>
      </c>
      <c r="C1965" s="1">
        <v>45780</v>
      </c>
      <c r="D1965" t="s">
        <v>761</v>
      </c>
      <c r="E1965" t="s">
        <v>136</v>
      </c>
      <c r="F1965" t="s">
        <v>135</v>
      </c>
      <c r="G1965" s="14">
        <v>34995.300000000003</v>
      </c>
      <c r="H1965">
        <v>1190</v>
      </c>
      <c r="I1965">
        <v>29.41</v>
      </c>
      <c r="J1965">
        <v>42344.31</v>
      </c>
    </row>
    <row r="1966" spans="1:10" hidden="1" x14ac:dyDescent="0.25">
      <c r="A1966" t="s">
        <v>766</v>
      </c>
      <c r="B1966" t="s">
        <v>88</v>
      </c>
      <c r="C1966" s="1">
        <v>45780</v>
      </c>
      <c r="D1966" t="s">
        <v>767</v>
      </c>
      <c r="E1966" t="s">
        <v>136</v>
      </c>
      <c r="F1966" t="s">
        <v>10</v>
      </c>
      <c r="G1966" s="14">
        <v>67127.360000000001</v>
      </c>
      <c r="H1966">
        <v>1190</v>
      </c>
      <c r="I1966">
        <v>56.41</v>
      </c>
      <c r="J1966">
        <v>81224.11</v>
      </c>
    </row>
    <row r="1967" spans="1:10" hidden="1" x14ac:dyDescent="0.25">
      <c r="A1967" t="s">
        <v>420</v>
      </c>
      <c r="B1967" t="s">
        <v>88</v>
      </c>
      <c r="C1967" s="1">
        <v>45780</v>
      </c>
      <c r="D1967" t="s">
        <v>797</v>
      </c>
      <c r="E1967" t="s">
        <v>422</v>
      </c>
      <c r="F1967" t="s">
        <v>109</v>
      </c>
      <c r="G1967" s="14">
        <v>44007</v>
      </c>
      <c r="H1967">
        <v>1190</v>
      </c>
      <c r="I1967">
        <v>36.979999999999997</v>
      </c>
      <c r="J1967">
        <v>53248.47</v>
      </c>
    </row>
    <row r="1968" spans="1:10" hidden="1" x14ac:dyDescent="0.25">
      <c r="A1968" t="s">
        <v>443</v>
      </c>
      <c r="B1968" t="s">
        <v>88</v>
      </c>
      <c r="C1968" s="1">
        <v>45780</v>
      </c>
      <c r="D1968" t="s">
        <v>816</v>
      </c>
      <c r="E1968" t="s">
        <v>90</v>
      </c>
      <c r="F1968" t="s">
        <v>91</v>
      </c>
      <c r="G1968" s="14">
        <v>76888.92</v>
      </c>
      <c r="H1968">
        <v>1190</v>
      </c>
      <c r="I1968">
        <v>64.61</v>
      </c>
      <c r="J1968">
        <v>93035.6</v>
      </c>
    </row>
    <row r="1969" spans="1:10" hidden="1" x14ac:dyDescent="0.25">
      <c r="A1969" t="s">
        <v>443</v>
      </c>
      <c r="B1969" t="s">
        <v>88</v>
      </c>
      <c r="C1969" s="1">
        <v>45780</v>
      </c>
      <c r="D1969" t="s">
        <v>816</v>
      </c>
      <c r="E1969" t="s">
        <v>92</v>
      </c>
      <c r="F1969" t="s">
        <v>91</v>
      </c>
      <c r="G1969" s="14">
        <v>11772.46</v>
      </c>
      <c r="H1969">
        <v>1190</v>
      </c>
      <c r="I1969">
        <v>9.89</v>
      </c>
      <c r="J1969">
        <v>11772.46</v>
      </c>
    </row>
    <row r="1970" spans="1:10" hidden="1" x14ac:dyDescent="0.25">
      <c r="A1970" t="s">
        <v>629</v>
      </c>
      <c r="B1970" t="s">
        <v>88</v>
      </c>
      <c r="C1970" s="1">
        <v>45779</v>
      </c>
      <c r="D1970" t="s">
        <v>630</v>
      </c>
      <c r="E1970" t="s">
        <v>136</v>
      </c>
      <c r="F1970" t="s">
        <v>10</v>
      </c>
      <c r="G1970" s="14">
        <v>16446.3</v>
      </c>
      <c r="H1970">
        <v>1190</v>
      </c>
      <c r="I1970">
        <v>13.82</v>
      </c>
      <c r="J1970">
        <v>19900.02</v>
      </c>
    </row>
    <row r="1971" spans="1:10" hidden="1" x14ac:dyDescent="0.25">
      <c r="A1971" t="s">
        <v>182</v>
      </c>
      <c r="B1971" t="s">
        <v>88</v>
      </c>
      <c r="C1971" s="1">
        <v>45779</v>
      </c>
      <c r="D1971" t="s">
        <v>634</v>
      </c>
      <c r="E1971" t="s">
        <v>184</v>
      </c>
      <c r="F1971" t="s">
        <v>621</v>
      </c>
      <c r="G1971" s="14">
        <v>124823.88</v>
      </c>
      <c r="H1971">
        <v>1190</v>
      </c>
      <c r="I1971">
        <v>104.89</v>
      </c>
      <c r="J1971">
        <v>151036.89000000001</v>
      </c>
    </row>
    <row r="1972" spans="1:10" hidden="1" x14ac:dyDescent="0.25">
      <c r="A1972" t="s">
        <v>275</v>
      </c>
      <c r="B1972" t="s">
        <v>88</v>
      </c>
      <c r="C1972" s="1">
        <v>45779</v>
      </c>
      <c r="D1972" t="s">
        <v>690</v>
      </c>
      <c r="E1972" t="s">
        <v>90</v>
      </c>
      <c r="F1972" t="s">
        <v>91</v>
      </c>
      <c r="G1972" s="14">
        <v>1006810.87</v>
      </c>
      <c r="H1972">
        <v>1190</v>
      </c>
      <c r="I1972">
        <v>846.06</v>
      </c>
      <c r="J1972">
        <v>1218241.1599999999</v>
      </c>
    </row>
    <row r="1973" spans="1:10" hidden="1" x14ac:dyDescent="0.25">
      <c r="A1973" t="s">
        <v>275</v>
      </c>
      <c r="B1973" t="s">
        <v>88</v>
      </c>
      <c r="C1973" s="1">
        <v>45779</v>
      </c>
      <c r="D1973" t="s">
        <v>690</v>
      </c>
      <c r="E1973" t="s">
        <v>92</v>
      </c>
      <c r="F1973" t="s">
        <v>91</v>
      </c>
      <c r="G1973" s="14">
        <v>165533.54999999999</v>
      </c>
      <c r="H1973">
        <v>1190</v>
      </c>
      <c r="I1973">
        <v>139.1</v>
      </c>
      <c r="J1973">
        <v>165533.54999999999</v>
      </c>
    </row>
    <row r="1974" spans="1:10" hidden="1" x14ac:dyDescent="0.25">
      <c r="A1974" t="s">
        <v>298</v>
      </c>
      <c r="B1974" t="s">
        <v>88</v>
      </c>
      <c r="C1974" s="1">
        <v>45779</v>
      </c>
      <c r="D1974" t="s">
        <v>704</v>
      </c>
      <c r="E1974" t="s">
        <v>205</v>
      </c>
      <c r="F1974" t="s">
        <v>109</v>
      </c>
      <c r="G1974" s="14">
        <v>20000</v>
      </c>
      <c r="H1974">
        <v>1190</v>
      </c>
      <c r="I1974">
        <v>16.809999999999999</v>
      </c>
      <c r="J1974">
        <v>24200</v>
      </c>
    </row>
    <row r="1975" spans="1:10" hidden="1" x14ac:dyDescent="0.25">
      <c r="A1975" t="s">
        <v>478</v>
      </c>
      <c r="B1975" t="s">
        <v>88</v>
      </c>
      <c r="C1975" s="1">
        <v>45779</v>
      </c>
      <c r="D1975" t="s">
        <v>844</v>
      </c>
      <c r="E1975" t="s">
        <v>205</v>
      </c>
      <c r="F1975" t="s">
        <v>109</v>
      </c>
      <c r="G1975" s="14">
        <v>16479.34</v>
      </c>
      <c r="H1975">
        <v>1190</v>
      </c>
      <c r="I1975">
        <v>13.85</v>
      </c>
      <c r="J1975">
        <v>19940</v>
      </c>
    </row>
    <row r="1976" spans="1:10" hidden="1" x14ac:dyDescent="0.25">
      <c r="A1976" t="s">
        <v>112</v>
      </c>
      <c r="B1976" t="s">
        <v>88</v>
      </c>
      <c r="C1976" s="1">
        <v>45778</v>
      </c>
      <c r="D1976" t="s">
        <v>588</v>
      </c>
      <c r="E1976" t="s">
        <v>114</v>
      </c>
      <c r="F1976" t="s">
        <v>117</v>
      </c>
      <c r="G1976" s="14">
        <v>1155.52</v>
      </c>
      <c r="H1976">
        <v>1190</v>
      </c>
      <c r="I1976">
        <v>0.97</v>
      </c>
      <c r="J1976">
        <v>1398.18</v>
      </c>
    </row>
    <row r="1977" spans="1:10" hidden="1" x14ac:dyDescent="0.25">
      <c r="A1977" t="s">
        <v>265</v>
      </c>
      <c r="B1977" t="s">
        <v>88</v>
      </c>
      <c r="C1977" s="1">
        <v>45778</v>
      </c>
      <c r="D1977" t="s">
        <v>682</v>
      </c>
      <c r="E1977" t="s">
        <v>267</v>
      </c>
      <c r="F1977" t="s">
        <v>109</v>
      </c>
      <c r="G1977" s="14">
        <v>63000</v>
      </c>
      <c r="H1977">
        <v>1190</v>
      </c>
      <c r="I1977">
        <v>52.94</v>
      </c>
      <c r="J1977">
        <v>76230</v>
      </c>
    </row>
    <row r="1978" spans="1:10" hidden="1" x14ac:dyDescent="0.25">
      <c r="A1978" t="s">
        <v>364</v>
      </c>
      <c r="B1978" t="s">
        <v>88</v>
      </c>
      <c r="C1978" s="1">
        <v>45778</v>
      </c>
      <c r="D1978" t="s">
        <v>746</v>
      </c>
      <c r="E1978" t="s">
        <v>102</v>
      </c>
      <c r="F1978" t="s">
        <v>109</v>
      </c>
      <c r="G1978" s="14">
        <v>9000</v>
      </c>
      <c r="H1978">
        <v>1190</v>
      </c>
      <c r="I1978">
        <v>7.56</v>
      </c>
      <c r="J1978">
        <v>9000</v>
      </c>
    </row>
    <row r="1979" spans="1:10" hidden="1" x14ac:dyDescent="0.25">
      <c r="A1979" t="s">
        <v>125</v>
      </c>
      <c r="B1979" t="s">
        <v>88</v>
      </c>
      <c r="C1979" s="1">
        <v>45777</v>
      </c>
      <c r="D1979" t="s">
        <v>597</v>
      </c>
      <c r="E1979" t="s">
        <v>114</v>
      </c>
      <c r="F1979" t="s">
        <v>117</v>
      </c>
      <c r="G1979" s="14">
        <v>791.89</v>
      </c>
      <c r="H1979">
        <v>1190</v>
      </c>
      <c r="I1979">
        <v>0.67</v>
      </c>
      <c r="J1979">
        <v>958.19</v>
      </c>
    </row>
    <row r="1980" spans="1:10" hidden="1" x14ac:dyDescent="0.25">
      <c r="A1980" t="s">
        <v>125</v>
      </c>
      <c r="B1980" t="s">
        <v>88</v>
      </c>
      <c r="C1980" s="1">
        <v>45777</v>
      </c>
      <c r="D1980" t="s">
        <v>597</v>
      </c>
      <c r="E1980" t="s">
        <v>127</v>
      </c>
      <c r="F1980" t="s">
        <v>117</v>
      </c>
      <c r="G1980" s="14">
        <v>79.2</v>
      </c>
      <c r="H1980">
        <v>1190</v>
      </c>
      <c r="I1980">
        <v>7.0000000000000007E-2</v>
      </c>
      <c r="J1980">
        <v>79.2</v>
      </c>
    </row>
    <row r="1981" spans="1:10" hidden="1" x14ac:dyDescent="0.25">
      <c r="A1981" t="s">
        <v>161</v>
      </c>
      <c r="B1981" t="s">
        <v>88</v>
      </c>
      <c r="C1981" s="1">
        <v>45777</v>
      </c>
      <c r="D1981" t="s">
        <v>628</v>
      </c>
      <c r="E1981" t="s">
        <v>136</v>
      </c>
      <c r="F1981" t="s">
        <v>621</v>
      </c>
      <c r="G1981" s="14">
        <v>783000.8</v>
      </c>
      <c r="H1981">
        <v>1190</v>
      </c>
      <c r="I1981">
        <v>657.98</v>
      </c>
      <c r="J1981">
        <v>947430.97</v>
      </c>
    </row>
    <row r="1982" spans="1:10" hidden="1" x14ac:dyDescent="0.25">
      <c r="A1982" t="s">
        <v>182</v>
      </c>
      <c r="B1982" t="s">
        <v>88</v>
      </c>
      <c r="C1982" s="1">
        <v>45777</v>
      </c>
      <c r="D1982" t="s">
        <v>650</v>
      </c>
      <c r="E1982" t="s">
        <v>184</v>
      </c>
      <c r="F1982" t="s">
        <v>621</v>
      </c>
      <c r="G1982" s="14">
        <v>36644.92</v>
      </c>
      <c r="H1982">
        <v>1190</v>
      </c>
      <c r="I1982">
        <v>30.79</v>
      </c>
      <c r="J1982">
        <v>44340.35</v>
      </c>
    </row>
    <row r="1983" spans="1:10" hidden="1" x14ac:dyDescent="0.25">
      <c r="A1983" t="s">
        <v>226</v>
      </c>
      <c r="B1983" t="s">
        <v>88</v>
      </c>
      <c r="C1983" s="1">
        <v>45777</v>
      </c>
      <c r="D1983" t="s">
        <v>660</v>
      </c>
      <c r="E1983" t="s">
        <v>232</v>
      </c>
      <c r="F1983" t="s">
        <v>109</v>
      </c>
      <c r="G1983" s="14">
        <v>4195.18</v>
      </c>
      <c r="H1983">
        <v>1190</v>
      </c>
      <c r="I1983">
        <v>3.53</v>
      </c>
      <c r="J1983">
        <v>5327.88</v>
      </c>
    </row>
    <row r="1984" spans="1:10" hidden="1" x14ac:dyDescent="0.25">
      <c r="A1984" t="s">
        <v>226</v>
      </c>
      <c r="B1984" t="s">
        <v>88</v>
      </c>
      <c r="C1984" s="1">
        <v>45777</v>
      </c>
      <c r="D1984" t="s">
        <v>660</v>
      </c>
      <c r="E1984" t="s">
        <v>233</v>
      </c>
      <c r="F1984" t="s">
        <v>109</v>
      </c>
      <c r="G1984" s="14">
        <v>492.09</v>
      </c>
      <c r="H1984">
        <v>1190</v>
      </c>
      <c r="I1984">
        <v>0.41</v>
      </c>
      <c r="J1984">
        <v>492.09</v>
      </c>
    </row>
    <row r="1985" spans="1:10" hidden="1" x14ac:dyDescent="0.25">
      <c r="A1985" t="s">
        <v>226</v>
      </c>
      <c r="B1985" t="s">
        <v>88</v>
      </c>
      <c r="C1985" s="1">
        <v>45777</v>
      </c>
      <c r="D1985" t="s">
        <v>661</v>
      </c>
      <c r="E1985" t="s">
        <v>232</v>
      </c>
      <c r="F1985" t="s">
        <v>109</v>
      </c>
      <c r="G1985" s="14">
        <v>3992</v>
      </c>
      <c r="H1985">
        <v>1190</v>
      </c>
      <c r="I1985">
        <v>3.35</v>
      </c>
      <c r="J1985">
        <v>5069.84</v>
      </c>
    </row>
    <row r="1986" spans="1:10" hidden="1" x14ac:dyDescent="0.25">
      <c r="A1986" t="s">
        <v>226</v>
      </c>
      <c r="B1986" t="s">
        <v>88</v>
      </c>
      <c r="C1986" s="1">
        <v>45777</v>
      </c>
      <c r="D1986" t="s">
        <v>661</v>
      </c>
      <c r="E1986" t="s">
        <v>233</v>
      </c>
      <c r="F1986" t="s">
        <v>109</v>
      </c>
      <c r="G1986" s="14">
        <v>492.07</v>
      </c>
      <c r="H1986">
        <v>1190</v>
      </c>
      <c r="I1986">
        <v>0.41</v>
      </c>
      <c r="J1986">
        <v>492.07</v>
      </c>
    </row>
    <row r="1987" spans="1:10" hidden="1" x14ac:dyDescent="0.25">
      <c r="A1987" t="s">
        <v>300</v>
      </c>
      <c r="B1987" t="s">
        <v>88</v>
      </c>
      <c r="C1987" s="1">
        <v>45777</v>
      </c>
      <c r="D1987" t="s">
        <v>706</v>
      </c>
      <c r="E1987" t="s">
        <v>90</v>
      </c>
      <c r="F1987" t="s">
        <v>91</v>
      </c>
      <c r="G1987" s="14">
        <v>46499.33</v>
      </c>
      <c r="H1987">
        <v>1190</v>
      </c>
      <c r="I1987">
        <v>39.08</v>
      </c>
      <c r="J1987">
        <v>56264.19</v>
      </c>
    </row>
    <row r="1988" spans="1:10" hidden="1" x14ac:dyDescent="0.25">
      <c r="A1988" t="s">
        <v>300</v>
      </c>
      <c r="B1988" t="s">
        <v>88</v>
      </c>
      <c r="C1988" s="1">
        <v>45777</v>
      </c>
      <c r="D1988" t="s">
        <v>706</v>
      </c>
      <c r="E1988" t="s">
        <v>92</v>
      </c>
      <c r="F1988" t="s">
        <v>91</v>
      </c>
      <c r="G1988" s="14">
        <v>8648.2800000000007</v>
      </c>
      <c r="H1988">
        <v>1190</v>
      </c>
      <c r="I1988">
        <v>7.27</v>
      </c>
      <c r="J1988">
        <v>8648.2800000000007</v>
      </c>
    </row>
    <row r="1989" spans="1:10" hidden="1" x14ac:dyDescent="0.25">
      <c r="A1989" t="s">
        <v>710</v>
      </c>
      <c r="B1989" t="s">
        <v>88</v>
      </c>
      <c r="C1989" s="1">
        <v>45777</v>
      </c>
      <c r="D1989" t="s">
        <v>711</v>
      </c>
      <c r="E1989" t="s">
        <v>147</v>
      </c>
      <c r="F1989" t="s">
        <v>91</v>
      </c>
      <c r="G1989" s="14">
        <v>10341.51</v>
      </c>
      <c r="H1989">
        <v>1190</v>
      </c>
      <c r="I1989">
        <v>8.69</v>
      </c>
      <c r="J1989">
        <v>10341.51</v>
      </c>
    </row>
    <row r="1990" spans="1:10" hidden="1" x14ac:dyDescent="0.25">
      <c r="A1990" t="s">
        <v>710</v>
      </c>
      <c r="B1990" t="s">
        <v>88</v>
      </c>
      <c r="C1990" s="1">
        <v>45777</v>
      </c>
      <c r="D1990" t="s">
        <v>711</v>
      </c>
      <c r="E1990" t="s">
        <v>90</v>
      </c>
      <c r="F1990" t="s">
        <v>91</v>
      </c>
      <c r="G1990" s="14">
        <v>42849.21</v>
      </c>
      <c r="H1990">
        <v>1190</v>
      </c>
      <c r="I1990">
        <v>36.01</v>
      </c>
      <c r="J1990">
        <v>51847.55</v>
      </c>
    </row>
    <row r="1991" spans="1:10" hidden="1" x14ac:dyDescent="0.25">
      <c r="A1991" t="s">
        <v>780</v>
      </c>
      <c r="B1991" t="s">
        <v>88</v>
      </c>
      <c r="C1991" s="1">
        <v>45777</v>
      </c>
      <c r="D1991" t="s">
        <v>781</v>
      </c>
      <c r="E1991" t="s">
        <v>102</v>
      </c>
      <c r="F1991" t="s">
        <v>11</v>
      </c>
      <c r="G1991" s="14">
        <v>3113150</v>
      </c>
      <c r="H1991">
        <v>1190</v>
      </c>
      <c r="I1991">
        <v>2616.09</v>
      </c>
      <c r="J1991">
        <v>3113150</v>
      </c>
    </row>
    <row r="1992" spans="1:10" hidden="1" x14ac:dyDescent="0.25">
      <c r="A1992" t="s">
        <v>784</v>
      </c>
      <c r="B1992" t="s">
        <v>96</v>
      </c>
      <c r="C1992" s="1">
        <v>45777</v>
      </c>
      <c r="D1992" t="s">
        <v>785</v>
      </c>
      <c r="E1992" t="s">
        <v>786</v>
      </c>
      <c r="F1992" t="s">
        <v>10</v>
      </c>
      <c r="G1992" s="14">
        <v>8536.98</v>
      </c>
      <c r="H1992">
        <v>1190</v>
      </c>
      <c r="I1992">
        <v>7.17</v>
      </c>
      <c r="J1992">
        <v>8536.98</v>
      </c>
    </row>
    <row r="1993" spans="1:10" hidden="1" x14ac:dyDescent="0.25">
      <c r="A1993" t="s">
        <v>426</v>
      </c>
      <c r="B1993" t="s">
        <v>88</v>
      </c>
      <c r="C1993" s="1">
        <v>45777</v>
      </c>
      <c r="D1993" t="s">
        <v>809</v>
      </c>
      <c r="E1993" t="s">
        <v>136</v>
      </c>
      <c r="F1993" t="s">
        <v>9</v>
      </c>
      <c r="G1993" s="14">
        <v>173461.92</v>
      </c>
      <c r="H1993">
        <v>1190</v>
      </c>
      <c r="I1993">
        <v>145.77000000000001</v>
      </c>
      <c r="J1993">
        <v>209888.92</v>
      </c>
    </row>
    <row r="1994" spans="1:10" hidden="1" x14ac:dyDescent="0.25">
      <c r="A1994" t="s">
        <v>436</v>
      </c>
      <c r="B1994" t="s">
        <v>88</v>
      </c>
      <c r="C1994" s="1">
        <v>45777</v>
      </c>
      <c r="D1994" t="s">
        <v>810</v>
      </c>
      <c r="E1994" t="s">
        <v>215</v>
      </c>
      <c r="F1994" t="s">
        <v>206</v>
      </c>
      <c r="G1994" s="14">
        <v>112495.1</v>
      </c>
      <c r="H1994">
        <v>1190</v>
      </c>
      <c r="I1994">
        <v>94.53</v>
      </c>
      <c r="J1994">
        <v>136119.07</v>
      </c>
    </row>
    <row r="1995" spans="1:10" hidden="1" x14ac:dyDescent="0.25">
      <c r="A1995" t="s">
        <v>443</v>
      </c>
      <c r="B1995" t="s">
        <v>88</v>
      </c>
      <c r="C1995" s="1">
        <v>45777</v>
      </c>
      <c r="D1995" t="s">
        <v>827</v>
      </c>
      <c r="E1995" t="s">
        <v>90</v>
      </c>
      <c r="F1995" t="s">
        <v>91</v>
      </c>
      <c r="G1995" s="14">
        <v>26405.45</v>
      </c>
      <c r="H1995">
        <v>1190</v>
      </c>
      <c r="I1995">
        <v>22.19</v>
      </c>
      <c r="J1995">
        <v>31950.6</v>
      </c>
    </row>
    <row r="1996" spans="1:10" hidden="1" x14ac:dyDescent="0.25">
      <c r="A1996" t="s">
        <v>443</v>
      </c>
      <c r="B1996" t="s">
        <v>88</v>
      </c>
      <c r="C1996" s="1">
        <v>45777</v>
      </c>
      <c r="D1996" t="s">
        <v>827</v>
      </c>
      <c r="E1996" t="s">
        <v>92</v>
      </c>
      <c r="F1996" t="s">
        <v>91</v>
      </c>
      <c r="G1996" s="14">
        <v>5260.35</v>
      </c>
      <c r="H1996">
        <v>1190</v>
      </c>
      <c r="I1996">
        <v>4.42</v>
      </c>
      <c r="J1996">
        <v>5260.35</v>
      </c>
    </row>
    <row r="1997" spans="1:10" hidden="1" x14ac:dyDescent="0.25">
      <c r="A1997" t="s">
        <v>521</v>
      </c>
      <c r="B1997" t="s">
        <v>88</v>
      </c>
      <c r="C1997" s="1">
        <v>45777</v>
      </c>
      <c r="D1997" t="s">
        <v>901</v>
      </c>
      <c r="E1997" t="s">
        <v>136</v>
      </c>
      <c r="F1997" t="s">
        <v>135</v>
      </c>
      <c r="G1997" s="14">
        <v>84980</v>
      </c>
      <c r="H1997">
        <v>1190</v>
      </c>
      <c r="I1997">
        <v>71.41</v>
      </c>
      <c r="J1997">
        <v>102825.8</v>
      </c>
    </row>
    <row r="1998" spans="1:10" hidden="1" x14ac:dyDescent="0.25">
      <c r="A1998" t="s">
        <v>182</v>
      </c>
      <c r="B1998" t="s">
        <v>88</v>
      </c>
      <c r="C1998" s="1">
        <v>45776</v>
      </c>
      <c r="D1998" t="s">
        <v>649</v>
      </c>
      <c r="E1998" t="s">
        <v>184</v>
      </c>
      <c r="F1998" t="s">
        <v>20</v>
      </c>
      <c r="G1998" s="14">
        <v>78279.7</v>
      </c>
      <c r="H1998">
        <v>1180</v>
      </c>
      <c r="I1998">
        <v>66.34</v>
      </c>
      <c r="J1998">
        <v>94718.44</v>
      </c>
    </row>
    <row r="1999" spans="1:10" hidden="1" x14ac:dyDescent="0.25">
      <c r="A1999" t="s">
        <v>246</v>
      </c>
      <c r="B1999" t="s">
        <v>88</v>
      </c>
      <c r="C1999" s="1">
        <v>45776</v>
      </c>
      <c r="D1999" t="s">
        <v>676</v>
      </c>
      <c r="E1999" t="s">
        <v>114</v>
      </c>
      <c r="F1999" t="s">
        <v>117</v>
      </c>
      <c r="G1999" s="14">
        <v>56159.08</v>
      </c>
      <c r="H1999">
        <v>1180</v>
      </c>
      <c r="I1999">
        <v>47.59</v>
      </c>
      <c r="J1999">
        <v>67952.490000000005</v>
      </c>
    </row>
    <row r="2000" spans="1:10" hidden="1" x14ac:dyDescent="0.25">
      <c r="A2000" t="s">
        <v>246</v>
      </c>
      <c r="B2000" t="s">
        <v>199</v>
      </c>
      <c r="C2000" s="1">
        <v>45776</v>
      </c>
      <c r="D2000" t="s">
        <v>678</v>
      </c>
      <c r="E2000" t="s">
        <v>114</v>
      </c>
      <c r="F2000" t="s">
        <v>117</v>
      </c>
      <c r="G2000" s="14">
        <v>-311.99</v>
      </c>
      <c r="H2000">
        <v>1180</v>
      </c>
      <c r="I2000">
        <v>-0.26</v>
      </c>
      <c r="J2000">
        <v>-377.51</v>
      </c>
    </row>
    <row r="2001" spans="1:10" hidden="1" x14ac:dyDescent="0.25">
      <c r="A2001" t="s">
        <v>515</v>
      </c>
      <c r="B2001" t="s">
        <v>88</v>
      </c>
      <c r="C2001" s="1">
        <v>45776</v>
      </c>
      <c r="D2001" t="s">
        <v>900</v>
      </c>
      <c r="E2001" t="s">
        <v>136</v>
      </c>
      <c r="F2001" t="s">
        <v>9</v>
      </c>
      <c r="G2001" s="14">
        <v>13213</v>
      </c>
      <c r="H2001">
        <v>1180</v>
      </c>
      <c r="I2001">
        <v>11.2</v>
      </c>
      <c r="J2001">
        <v>15987.73</v>
      </c>
    </row>
    <row r="2002" spans="1:10" hidden="1" x14ac:dyDescent="0.25">
      <c r="A2002" t="s">
        <v>527</v>
      </c>
      <c r="B2002" t="s">
        <v>88</v>
      </c>
      <c r="C2002" s="1">
        <v>45776</v>
      </c>
      <c r="D2002" t="s">
        <v>908</v>
      </c>
      <c r="E2002" t="s">
        <v>529</v>
      </c>
      <c r="F2002" t="s">
        <v>210</v>
      </c>
      <c r="G2002" s="14">
        <v>655124.13</v>
      </c>
      <c r="H2002">
        <v>1180</v>
      </c>
      <c r="I2002">
        <v>555.19000000000005</v>
      </c>
      <c r="J2002">
        <v>792700.2</v>
      </c>
    </row>
    <row r="2003" spans="1:10" hidden="1" x14ac:dyDescent="0.25">
      <c r="A2003" t="s">
        <v>527</v>
      </c>
      <c r="B2003" t="s">
        <v>88</v>
      </c>
      <c r="C2003" s="1">
        <v>45776</v>
      </c>
      <c r="D2003" t="s">
        <v>909</v>
      </c>
      <c r="E2003" t="s">
        <v>297</v>
      </c>
      <c r="F2003" t="s">
        <v>210</v>
      </c>
      <c r="G2003" s="14">
        <v>1800</v>
      </c>
      <c r="H2003">
        <v>1180</v>
      </c>
      <c r="I2003">
        <v>1.53</v>
      </c>
      <c r="J2003">
        <v>2178</v>
      </c>
    </row>
    <row r="2004" spans="1:10" hidden="1" x14ac:dyDescent="0.25">
      <c r="A2004" t="s">
        <v>527</v>
      </c>
      <c r="B2004" t="s">
        <v>88</v>
      </c>
      <c r="C2004" s="1">
        <v>45776</v>
      </c>
      <c r="D2004" t="s">
        <v>909</v>
      </c>
      <c r="E2004" t="s">
        <v>84</v>
      </c>
      <c r="F2004" t="s">
        <v>210</v>
      </c>
      <c r="G2004" s="14">
        <v>150000</v>
      </c>
      <c r="H2004">
        <v>1180</v>
      </c>
      <c r="I2004">
        <v>127.12</v>
      </c>
      <c r="J2004">
        <v>150000</v>
      </c>
    </row>
    <row r="2005" spans="1:10" hidden="1" x14ac:dyDescent="0.25">
      <c r="A2005" t="s">
        <v>527</v>
      </c>
      <c r="B2005" t="s">
        <v>530</v>
      </c>
      <c r="C2005" s="1">
        <v>45776</v>
      </c>
      <c r="D2005" t="s">
        <v>911</v>
      </c>
      <c r="E2005" t="s">
        <v>297</v>
      </c>
      <c r="F2005" t="s">
        <v>210</v>
      </c>
      <c r="G2005" s="14">
        <v>8745.7099999999991</v>
      </c>
      <c r="H2005">
        <v>1180</v>
      </c>
      <c r="I2005">
        <v>7.41</v>
      </c>
      <c r="J2005">
        <v>10582.31</v>
      </c>
    </row>
    <row r="2006" spans="1:10" hidden="1" x14ac:dyDescent="0.25">
      <c r="A2006" t="s">
        <v>527</v>
      </c>
      <c r="B2006" t="s">
        <v>530</v>
      </c>
      <c r="C2006" s="1">
        <v>45776</v>
      </c>
      <c r="D2006" t="s">
        <v>911</v>
      </c>
      <c r="E2006" t="s">
        <v>84</v>
      </c>
      <c r="F2006" t="s">
        <v>210</v>
      </c>
      <c r="G2006" s="14">
        <v>728809.5</v>
      </c>
      <c r="H2006">
        <v>1180</v>
      </c>
      <c r="I2006">
        <v>617.64</v>
      </c>
      <c r="J2006">
        <v>728809.5</v>
      </c>
    </row>
    <row r="2007" spans="1:10" hidden="1" x14ac:dyDescent="0.25">
      <c r="A2007" t="s">
        <v>561</v>
      </c>
      <c r="B2007" t="s">
        <v>88</v>
      </c>
      <c r="C2007" s="1">
        <v>45776</v>
      </c>
      <c r="D2007" t="s">
        <v>933</v>
      </c>
      <c r="E2007" t="s">
        <v>90</v>
      </c>
      <c r="F2007" t="s">
        <v>91</v>
      </c>
      <c r="G2007" s="14">
        <v>37146.57</v>
      </c>
      <c r="H2007">
        <v>1180</v>
      </c>
      <c r="I2007">
        <v>31.48</v>
      </c>
      <c r="J2007">
        <v>44947.360000000001</v>
      </c>
    </row>
    <row r="2008" spans="1:10" hidden="1" x14ac:dyDescent="0.25">
      <c r="A2008" t="s">
        <v>561</v>
      </c>
      <c r="B2008" t="s">
        <v>88</v>
      </c>
      <c r="C2008" s="1">
        <v>45776</v>
      </c>
      <c r="D2008" t="s">
        <v>933</v>
      </c>
      <c r="E2008" t="s">
        <v>92</v>
      </c>
      <c r="F2008" t="s">
        <v>91</v>
      </c>
      <c r="G2008" s="14">
        <v>5052.51</v>
      </c>
      <c r="H2008">
        <v>1180</v>
      </c>
      <c r="I2008">
        <v>4.28</v>
      </c>
      <c r="J2008">
        <v>5052.51</v>
      </c>
    </row>
    <row r="2009" spans="1:10" hidden="1" x14ac:dyDescent="0.25">
      <c r="A2009" t="s">
        <v>561</v>
      </c>
      <c r="B2009" t="s">
        <v>88</v>
      </c>
      <c r="C2009" s="1">
        <v>45776</v>
      </c>
      <c r="D2009" t="s">
        <v>934</v>
      </c>
      <c r="E2009" t="s">
        <v>90</v>
      </c>
      <c r="F2009" t="s">
        <v>91</v>
      </c>
      <c r="G2009" s="14">
        <v>9766.01</v>
      </c>
      <c r="H2009">
        <v>1180</v>
      </c>
      <c r="I2009">
        <v>8.2799999999999994</v>
      </c>
      <c r="J2009">
        <v>11816.88</v>
      </c>
    </row>
    <row r="2010" spans="1:10" hidden="1" x14ac:dyDescent="0.25">
      <c r="A2010" t="s">
        <v>561</v>
      </c>
      <c r="B2010" t="s">
        <v>88</v>
      </c>
      <c r="C2010" s="1">
        <v>45776</v>
      </c>
      <c r="D2010" t="s">
        <v>934</v>
      </c>
      <c r="E2010" t="s">
        <v>92</v>
      </c>
      <c r="F2010" t="s">
        <v>91</v>
      </c>
      <c r="G2010" s="14">
        <v>83.13</v>
      </c>
      <c r="H2010">
        <v>1180</v>
      </c>
      <c r="I2010">
        <v>7.0000000000000007E-2</v>
      </c>
      <c r="J2010">
        <v>83.13</v>
      </c>
    </row>
    <row r="2011" spans="1:10" hidden="1" x14ac:dyDescent="0.25">
      <c r="A2011" t="s">
        <v>426</v>
      </c>
      <c r="B2011" t="s">
        <v>88</v>
      </c>
      <c r="C2011" s="1">
        <v>45775</v>
      </c>
      <c r="D2011" t="s">
        <v>808</v>
      </c>
      <c r="E2011" t="s">
        <v>134</v>
      </c>
      <c r="F2011" t="s">
        <v>9</v>
      </c>
      <c r="G2011" s="14">
        <v>459054.96</v>
      </c>
      <c r="H2011">
        <v>1190</v>
      </c>
      <c r="I2011">
        <v>385.76</v>
      </c>
      <c r="J2011">
        <v>507255.73</v>
      </c>
    </row>
    <row r="2012" spans="1:10" hidden="1" x14ac:dyDescent="0.25">
      <c r="A2012" t="s">
        <v>497</v>
      </c>
      <c r="B2012" t="s">
        <v>88</v>
      </c>
      <c r="C2012" s="1">
        <v>45775</v>
      </c>
      <c r="D2012" t="s">
        <v>864</v>
      </c>
      <c r="E2012" t="s">
        <v>136</v>
      </c>
      <c r="F2012" t="s">
        <v>11</v>
      </c>
      <c r="G2012" s="14">
        <v>18466</v>
      </c>
      <c r="H2012">
        <v>1190</v>
      </c>
      <c r="I2012">
        <v>15.52</v>
      </c>
      <c r="J2012">
        <v>22343.86</v>
      </c>
    </row>
    <row r="2013" spans="1:10" hidden="1" x14ac:dyDescent="0.25">
      <c r="A2013" t="s">
        <v>497</v>
      </c>
      <c r="B2013" t="s">
        <v>88</v>
      </c>
      <c r="C2013" s="1">
        <v>45775</v>
      </c>
      <c r="D2013" t="s">
        <v>865</v>
      </c>
      <c r="E2013" t="s">
        <v>136</v>
      </c>
      <c r="F2013" t="s">
        <v>11</v>
      </c>
      <c r="G2013" s="14">
        <v>15370.5</v>
      </c>
      <c r="H2013">
        <v>1190</v>
      </c>
      <c r="I2013">
        <v>12.92</v>
      </c>
      <c r="J2013">
        <v>18598.310000000001</v>
      </c>
    </row>
    <row r="2014" spans="1:10" hidden="1" x14ac:dyDescent="0.25">
      <c r="A2014" t="s">
        <v>182</v>
      </c>
      <c r="B2014" t="s">
        <v>88</v>
      </c>
      <c r="C2014" s="1">
        <v>45773</v>
      </c>
      <c r="D2014" t="s">
        <v>647</v>
      </c>
      <c r="E2014" t="s">
        <v>184</v>
      </c>
      <c r="F2014" t="s">
        <v>621</v>
      </c>
      <c r="G2014" s="14">
        <v>6103.99</v>
      </c>
      <c r="H2014">
        <v>1190</v>
      </c>
      <c r="I2014">
        <v>5.13</v>
      </c>
      <c r="J2014">
        <v>7385.83</v>
      </c>
    </row>
    <row r="2015" spans="1:10" hidden="1" x14ac:dyDescent="0.25">
      <c r="A2015" t="s">
        <v>182</v>
      </c>
      <c r="B2015" t="s">
        <v>88</v>
      </c>
      <c r="C2015" s="1">
        <v>45773</v>
      </c>
      <c r="D2015" t="s">
        <v>647</v>
      </c>
      <c r="E2015" t="s">
        <v>184</v>
      </c>
      <c r="F2015" t="s">
        <v>20</v>
      </c>
      <c r="G2015" s="14">
        <v>5634.45</v>
      </c>
      <c r="H2015">
        <v>1190</v>
      </c>
      <c r="I2015">
        <v>4.7300000000000004</v>
      </c>
      <c r="J2015">
        <v>6817.68</v>
      </c>
    </row>
    <row r="2016" spans="1:10" hidden="1" x14ac:dyDescent="0.25">
      <c r="A2016" t="s">
        <v>132</v>
      </c>
      <c r="B2016" t="s">
        <v>88</v>
      </c>
      <c r="C2016" s="1">
        <v>45772</v>
      </c>
      <c r="D2016" t="s">
        <v>606</v>
      </c>
      <c r="E2016" t="s">
        <v>136</v>
      </c>
      <c r="F2016" t="s">
        <v>11</v>
      </c>
      <c r="G2016" s="14">
        <v>9100</v>
      </c>
      <c r="H2016">
        <v>1190</v>
      </c>
      <c r="I2016">
        <v>7.65</v>
      </c>
      <c r="J2016">
        <v>11011</v>
      </c>
    </row>
    <row r="2017" spans="1:10" hidden="1" x14ac:dyDescent="0.25">
      <c r="A2017" t="s">
        <v>182</v>
      </c>
      <c r="B2017" t="s">
        <v>88</v>
      </c>
      <c r="C2017" s="1">
        <v>45772</v>
      </c>
      <c r="D2017" t="s">
        <v>646</v>
      </c>
      <c r="E2017" t="s">
        <v>184</v>
      </c>
      <c r="F2017" t="s">
        <v>11</v>
      </c>
      <c r="G2017" s="14">
        <v>39711.040000000001</v>
      </c>
      <c r="H2017">
        <v>1190</v>
      </c>
      <c r="I2017">
        <v>33.369999999999997</v>
      </c>
      <c r="J2017">
        <v>48050.36</v>
      </c>
    </row>
    <row r="2018" spans="1:10" hidden="1" x14ac:dyDescent="0.25">
      <c r="A2018" t="s">
        <v>764</v>
      </c>
      <c r="B2018" t="s">
        <v>88</v>
      </c>
      <c r="C2018" s="1">
        <v>45772</v>
      </c>
      <c r="D2018" t="s">
        <v>765</v>
      </c>
      <c r="E2018" t="s">
        <v>90</v>
      </c>
      <c r="F2018" t="s">
        <v>91</v>
      </c>
      <c r="G2018" s="14">
        <v>52376.45</v>
      </c>
      <c r="H2018">
        <v>1190</v>
      </c>
      <c r="I2018">
        <v>44.01</v>
      </c>
      <c r="J2018">
        <v>63375.51</v>
      </c>
    </row>
    <row r="2019" spans="1:10" hidden="1" x14ac:dyDescent="0.25">
      <c r="A2019" t="s">
        <v>764</v>
      </c>
      <c r="B2019" t="s">
        <v>88</v>
      </c>
      <c r="C2019" s="1">
        <v>45772</v>
      </c>
      <c r="D2019" t="s">
        <v>765</v>
      </c>
      <c r="E2019" t="s">
        <v>92</v>
      </c>
      <c r="F2019" t="s">
        <v>91</v>
      </c>
      <c r="G2019" s="14">
        <v>6623.53</v>
      </c>
      <c r="H2019">
        <v>1190</v>
      </c>
      <c r="I2019">
        <v>5.57</v>
      </c>
      <c r="J2019">
        <v>6623.53</v>
      </c>
    </row>
    <row r="2020" spans="1:10" hidden="1" x14ac:dyDescent="0.25">
      <c r="A2020" t="s">
        <v>782</v>
      </c>
      <c r="B2020" t="s">
        <v>88</v>
      </c>
      <c r="C2020" s="1">
        <v>45772</v>
      </c>
      <c r="D2020" t="s">
        <v>783</v>
      </c>
      <c r="E2020" t="s">
        <v>90</v>
      </c>
      <c r="F2020" t="s">
        <v>91</v>
      </c>
      <c r="G2020" s="14">
        <v>47786.37</v>
      </c>
      <c r="H2020">
        <v>1190</v>
      </c>
      <c r="I2020">
        <v>40.159999999999997</v>
      </c>
      <c r="J2020">
        <v>57821.52</v>
      </c>
    </row>
    <row r="2021" spans="1:10" hidden="1" x14ac:dyDescent="0.25">
      <c r="A2021" t="s">
        <v>782</v>
      </c>
      <c r="B2021" t="s">
        <v>88</v>
      </c>
      <c r="C2021" s="1">
        <v>45772</v>
      </c>
      <c r="D2021" t="s">
        <v>783</v>
      </c>
      <c r="E2021" t="s">
        <v>92</v>
      </c>
      <c r="F2021" t="s">
        <v>91</v>
      </c>
      <c r="G2021" s="14">
        <v>4179.5200000000004</v>
      </c>
      <c r="H2021">
        <v>1190</v>
      </c>
      <c r="I2021">
        <v>3.51</v>
      </c>
      <c r="J2021">
        <v>4179.5200000000004</v>
      </c>
    </row>
    <row r="2022" spans="1:10" hidden="1" x14ac:dyDescent="0.25">
      <c r="A2022" t="s">
        <v>510</v>
      </c>
      <c r="B2022" t="s">
        <v>263</v>
      </c>
      <c r="C2022" s="1">
        <v>45772</v>
      </c>
      <c r="D2022" t="s">
        <v>880</v>
      </c>
      <c r="E2022" t="s">
        <v>127</v>
      </c>
      <c r="F2022" t="s">
        <v>117</v>
      </c>
      <c r="G2022" s="14">
        <v>3454.99</v>
      </c>
      <c r="H2022">
        <v>1190</v>
      </c>
      <c r="I2022">
        <v>2.9</v>
      </c>
      <c r="J2022">
        <v>3454.99</v>
      </c>
    </row>
    <row r="2023" spans="1:10" hidden="1" x14ac:dyDescent="0.25">
      <c r="A2023" t="s">
        <v>510</v>
      </c>
      <c r="B2023" t="s">
        <v>263</v>
      </c>
      <c r="C2023" s="1">
        <v>45772</v>
      </c>
      <c r="D2023" t="s">
        <v>881</v>
      </c>
      <c r="E2023" t="s">
        <v>127</v>
      </c>
      <c r="F2023" t="s">
        <v>117</v>
      </c>
      <c r="G2023" s="14">
        <v>816.53</v>
      </c>
      <c r="H2023">
        <v>1190</v>
      </c>
      <c r="I2023">
        <v>0.69</v>
      </c>
      <c r="J2023">
        <v>816.53</v>
      </c>
    </row>
    <row r="2024" spans="1:10" hidden="1" x14ac:dyDescent="0.25">
      <c r="A2024" t="s">
        <v>515</v>
      </c>
      <c r="B2024" t="s">
        <v>88</v>
      </c>
      <c r="C2024" s="1">
        <v>45772</v>
      </c>
      <c r="D2024" t="s">
        <v>897</v>
      </c>
      <c r="E2024" t="s">
        <v>184</v>
      </c>
      <c r="F2024" t="s">
        <v>11</v>
      </c>
      <c r="G2024" s="14">
        <v>12691</v>
      </c>
      <c r="H2024">
        <v>1190</v>
      </c>
      <c r="I2024">
        <v>10.66</v>
      </c>
      <c r="J2024">
        <v>15356.11</v>
      </c>
    </row>
    <row r="2025" spans="1:10" hidden="1" x14ac:dyDescent="0.25">
      <c r="A2025" t="s">
        <v>515</v>
      </c>
      <c r="B2025" t="s">
        <v>88</v>
      </c>
      <c r="C2025" s="1">
        <v>45771</v>
      </c>
      <c r="D2025" t="s">
        <v>896</v>
      </c>
      <c r="E2025" t="s">
        <v>184</v>
      </c>
      <c r="F2025" t="s">
        <v>621</v>
      </c>
      <c r="G2025" s="14">
        <v>21667</v>
      </c>
      <c r="H2025">
        <v>1190</v>
      </c>
      <c r="I2025">
        <v>18.21</v>
      </c>
      <c r="J2025">
        <v>26217.07</v>
      </c>
    </row>
    <row r="2026" spans="1:10" hidden="1" x14ac:dyDescent="0.25">
      <c r="A2026" t="s">
        <v>552</v>
      </c>
      <c r="B2026" t="s">
        <v>88</v>
      </c>
      <c r="C2026" s="1">
        <v>45771</v>
      </c>
      <c r="D2026" t="s">
        <v>930</v>
      </c>
      <c r="E2026" t="s">
        <v>136</v>
      </c>
      <c r="F2026" t="s">
        <v>621</v>
      </c>
      <c r="G2026" s="14">
        <v>3331982.65</v>
      </c>
      <c r="H2026">
        <v>1190</v>
      </c>
      <c r="I2026">
        <v>2799.99</v>
      </c>
      <c r="J2026">
        <v>4031699.01</v>
      </c>
    </row>
    <row r="2027" spans="1:10" hidden="1" x14ac:dyDescent="0.25">
      <c r="A2027" t="s">
        <v>132</v>
      </c>
      <c r="B2027" t="s">
        <v>88</v>
      </c>
      <c r="C2027" s="1">
        <v>45770</v>
      </c>
      <c r="D2027" t="s">
        <v>605</v>
      </c>
      <c r="E2027" t="s">
        <v>136</v>
      </c>
      <c r="F2027" t="s">
        <v>11</v>
      </c>
      <c r="G2027" s="14">
        <v>21639</v>
      </c>
      <c r="H2027">
        <v>1170</v>
      </c>
      <c r="I2027">
        <v>18.489999999999998</v>
      </c>
      <c r="J2027">
        <v>26183.19</v>
      </c>
    </row>
    <row r="2028" spans="1:10" hidden="1" x14ac:dyDescent="0.25">
      <c r="A2028" t="s">
        <v>182</v>
      </c>
      <c r="B2028" t="s">
        <v>88</v>
      </c>
      <c r="C2028" s="1">
        <v>45770</v>
      </c>
      <c r="D2028" t="s">
        <v>645</v>
      </c>
      <c r="E2028" t="s">
        <v>184</v>
      </c>
      <c r="F2028" t="s">
        <v>9</v>
      </c>
      <c r="G2028" s="14">
        <v>8500</v>
      </c>
      <c r="H2028">
        <v>1170</v>
      </c>
      <c r="I2028">
        <v>7.26</v>
      </c>
      <c r="J2028">
        <v>10285</v>
      </c>
    </row>
    <row r="2029" spans="1:10" hidden="1" x14ac:dyDescent="0.25">
      <c r="A2029" t="s">
        <v>336</v>
      </c>
      <c r="B2029" t="s">
        <v>88</v>
      </c>
      <c r="C2029" s="1">
        <v>45770</v>
      </c>
      <c r="D2029" t="s">
        <v>723</v>
      </c>
      <c r="E2029" t="s">
        <v>205</v>
      </c>
      <c r="F2029" t="s">
        <v>103</v>
      </c>
      <c r="G2029" s="14">
        <v>118950</v>
      </c>
      <c r="H2029">
        <v>1170</v>
      </c>
      <c r="I2029">
        <v>101.67</v>
      </c>
      <c r="J2029">
        <v>143929.5</v>
      </c>
    </row>
    <row r="2030" spans="1:10" hidden="1" x14ac:dyDescent="0.25">
      <c r="A2030" t="s">
        <v>336</v>
      </c>
      <c r="B2030" t="s">
        <v>88</v>
      </c>
      <c r="C2030" s="1">
        <v>45770</v>
      </c>
      <c r="D2030" t="s">
        <v>723</v>
      </c>
      <c r="E2030" t="s">
        <v>205</v>
      </c>
      <c r="F2030" t="s">
        <v>105</v>
      </c>
      <c r="G2030" s="14">
        <v>64050</v>
      </c>
      <c r="H2030">
        <v>1170</v>
      </c>
      <c r="I2030">
        <v>54.74</v>
      </c>
      <c r="J2030">
        <v>77500.5</v>
      </c>
    </row>
    <row r="2031" spans="1:10" hidden="1" x14ac:dyDescent="0.25">
      <c r="A2031" t="s">
        <v>361</v>
      </c>
      <c r="B2031" t="s">
        <v>88</v>
      </c>
      <c r="C2031" s="1">
        <v>45770</v>
      </c>
      <c r="D2031" t="s">
        <v>740</v>
      </c>
      <c r="E2031" t="s">
        <v>136</v>
      </c>
      <c r="F2031" t="s">
        <v>11</v>
      </c>
      <c r="G2031" s="14">
        <v>23066.53</v>
      </c>
      <c r="H2031">
        <v>1170</v>
      </c>
      <c r="I2031">
        <v>19.71</v>
      </c>
      <c r="J2031">
        <v>27910.5</v>
      </c>
    </row>
    <row r="2032" spans="1:10" hidden="1" x14ac:dyDescent="0.25">
      <c r="A2032" t="s">
        <v>361</v>
      </c>
      <c r="B2032" t="s">
        <v>88</v>
      </c>
      <c r="C2032" s="1">
        <v>45770</v>
      </c>
      <c r="D2032" t="s">
        <v>741</v>
      </c>
      <c r="E2032" t="s">
        <v>136</v>
      </c>
      <c r="F2032" t="s">
        <v>11</v>
      </c>
      <c r="G2032" s="14">
        <v>23066.53</v>
      </c>
      <c r="H2032">
        <v>1170</v>
      </c>
      <c r="I2032">
        <v>19.71</v>
      </c>
      <c r="J2032">
        <v>27910.5</v>
      </c>
    </row>
    <row r="2033" spans="1:10" hidden="1" x14ac:dyDescent="0.25">
      <c r="A2033" t="s">
        <v>769</v>
      </c>
      <c r="B2033" t="s">
        <v>88</v>
      </c>
      <c r="C2033" s="1">
        <v>45770</v>
      </c>
      <c r="D2033" t="s">
        <v>770</v>
      </c>
      <c r="E2033" t="s">
        <v>90</v>
      </c>
      <c r="F2033" t="s">
        <v>91</v>
      </c>
      <c r="G2033" s="14">
        <v>30045.19</v>
      </c>
      <c r="H2033">
        <v>1170</v>
      </c>
      <c r="I2033">
        <v>25.68</v>
      </c>
      <c r="J2033">
        <v>36354.69</v>
      </c>
    </row>
    <row r="2034" spans="1:10" hidden="1" x14ac:dyDescent="0.25">
      <c r="A2034" t="s">
        <v>769</v>
      </c>
      <c r="B2034" t="s">
        <v>88</v>
      </c>
      <c r="C2034" s="1">
        <v>45770</v>
      </c>
      <c r="D2034" t="s">
        <v>770</v>
      </c>
      <c r="E2034" t="s">
        <v>92</v>
      </c>
      <c r="F2034" t="s">
        <v>91</v>
      </c>
      <c r="G2034" s="14">
        <v>4246.17</v>
      </c>
      <c r="H2034">
        <v>1170</v>
      </c>
      <c r="I2034">
        <v>3.63</v>
      </c>
      <c r="J2034">
        <v>4246.17</v>
      </c>
    </row>
    <row r="2035" spans="1:10" hidden="1" x14ac:dyDescent="0.25">
      <c r="A2035" t="s">
        <v>426</v>
      </c>
      <c r="B2035" t="s">
        <v>88</v>
      </c>
      <c r="C2035" s="1">
        <v>45770</v>
      </c>
      <c r="D2035" t="s">
        <v>806</v>
      </c>
      <c r="E2035" t="s">
        <v>136</v>
      </c>
      <c r="F2035" t="s">
        <v>11</v>
      </c>
      <c r="G2035" s="14">
        <v>343483.02</v>
      </c>
      <c r="H2035">
        <v>1170</v>
      </c>
      <c r="I2035">
        <v>293.58</v>
      </c>
      <c r="J2035">
        <v>415614.45</v>
      </c>
    </row>
    <row r="2036" spans="1:10" hidden="1" x14ac:dyDescent="0.25">
      <c r="A2036" t="s">
        <v>453</v>
      </c>
      <c r="B2036" t="s">
        <v>88</v>
      </c>
      <c r="C2036" s="1">
        <v>45770</v>
      </c>
      <c r="D2036" t="s">
        <v>828</v>
      </c>
      <c r="E2036" t="s">
        <v>136</v>
      </c>
      <c r="F2036" t="s">
        <v>621</v>
      </c>
      <c r="G2036" s="14">
        <v>309756.83</v>
      </c>
      <c r="H2036">
        <v>1170</v>
      </c>
      <c r="I2036">
        <v>264.75</v>
      </c>
      <c r="J2036">
        <v>374805.77</v>
      </c>
    </row>
    <row r="2037" spans="1:10" hidden="1" x14ac:dyDescent="0.25">
      <c r="A2037" t="s">
        <v>453</v>
      </c>
      <c r="B2037" t="s">
        <v>88</v>
      </c>
      <c r="C2037" s="1">
        <v>45770</v>
      </c>
      <c r="D2037" t="s">
        <v>828</v>
      </c>
      <c r="E2037" t="s">
        <v>136</v>
      </c>
      <c r="F2037" t="s">
        <v>20</v>
      </c>
      <c r="G2037" s="14">
        <v>224306.67</v>
      </c>
      <c r="H2037">
        <v>1170</v>
      </c>
      <c r="I2037">
        <v>191.72</v>
      </c>
      <c r="J2037">
        <v>271411.07</v>
      </c>
    </row>
    <row r="2038" spans="1:10" hidden="1" x14ac:dyDescent="0.25">
      <c r="A2038" t="s">
        <v>552</v>
      </c>
      <c r="B2038" t="s">
        <v>88</v>
      </c>
      <c r="C2038" s="1">
        <v>45770</v>
      </c>
      <c r="D2038" t="s">
        <v>929</v>
      </c>
      <c r="E2038" t="s">
        <v>136</v>
      </c>
      <c r="F2038" t="s">
        <v>11</v>
      </c>
      <c r="G2038" s="14">
        <v>958720</v>
      </c>
      <c r="H2038">
        <v>1170</v>
      </c>
      <c r="I2038">
        <v>819.42</v>
      </c>
      <c r="J2038">
        <v>1160051.2</v>
      </c>
    </row>
    <row r="2039" spans="1:10" hidden="1" x14ac:dyDescent="0.25">
      <c r="A2039" t="s">
        <v>579</v>
      </c>
      <c r="B2039" t="s">
        <v>88</v>
      </c>
      <c r="C2039" s="1">
        <v>45769</v>
      </c>
      <c r="D2039" t="s">
        <v>580</v>
      </c>
      <c r="E2039" t="s">
        <v>205</v>
      </c>
      <c r="F2039" t="s">
        <v>11</v>
      </c>
      <c r="G2039" s="14">
        <v>297520.7</v>
      </c>
      <c r="H2039">
        <v>1120</v>
      </c>
      <c r="I2039">
        <v>265.64</v>
      </c>
      <c r="J2039">
        <v>360000.05</v>
      </c>
    </row>
    <row r="2040" spans="1:10" hidden="1" x14ac:dyDescent="0.25">
      <c r="A2040" t="s">
        <v>246</v>
      </c>
      <c r="B2040" t="s">
        <v>88</v>
      </c>
      <c r="C2040" s="1">
        <v>45769</v>
      </c>
      <c r="D2040" t="s">
        <v>672</v>
      </c>
      <c r="E2040" t="s">
        <v>114</v>
      </c>
      <c r="F2040" t="s">
        <v>117</v>
      </c>
      <c r="G2040" s="14">
        <v>6863.89</v>
      </c>
      <c r="H2040">
        <v>1120</v>
      </c>
      <c r="I2040">
        <v>6.13</v>
      </c>
      <c r="J2040">
        <v>8305.31</v>
      </c>
    </row>
    <row r="2041" spans="1:10" hidden="1" x14ac:dyDescent="0.25">
      <c r="A2041" t="s">
        <v>756</v>
      </c>
      <c r="B2041" t="s">
        <v>82</v>
      </c>
      <c r="C2041" s="1">
        <v>45769</v>
      </c>
      <c r="D2041" t="s">
        <v>757</v>
      </c>
      <c r="E2041" t="s">
        <v>329</v>
      </c>
      <c r="F2041" t="s">
        <v>9</v>
      </c>
      <c r="G2041" s="14">
        <v>4189325</v>
      </c>
      <c r="H2041">
        <v>1120</v>
      </c>
      <c r="I2041">
        <v>3740.47</v>
      </c>
      <c r="J2041">
        <v>4189325</v>
      </c>
    </row>
    <row r="2042" spans="1:10" hidden="1" x14ac:dyDescent="0.25">
      <c r="A2042" t="s">
        <v>426</v>
      </c>
      <c r="B2042" t="s">
        <v>88</v>
      </c>
      <c r="C2042" s="1">
        <v>45769</v>
      </c>
      <c r="D2042" t="s">
        <v>805</v>
      </c>
      <c r="E2042" t="s">
        <v>134</v>
      </c>
      <c r="F2042" t="s">
        <v>621</v>
      </c>
      <c r="G2042" s="14">
        <v>34938.6</v>
      </c>
      <c r="H2042">
        <v>1120</v>
      </c>
      <c r="I2042">
        <v>31.2</v>
      </c>
      <c r="J2042">
        <v>38607.15</v>
      </c>
    </row>
    <row r="2043" spans="1:10" hidden="1" x14ac:dyDescent="0.25">
      <c r="A2043" t="s">
        <v>426</v>
      </c>
      <c r="B2043" t="s">
        <v>88</v>
      </c>
      <c r="C2043" s="1">
        <v>45769</v>
      </c>
      <c r="D2043" t="s">
        <v>805</v>
      </c>
      <c r="E2043" t="s">
        <v>136</v>
      </c>
      <c r="F2043" t="s">
        <v>621</v>
      </c>
      <c r="G2043" s="14">
        <v>425641.55</v>
      </c>
      <c r="H2043">
        <v>1120</v>
      </c>
      <c r="I2043">
        <v>380.04</v>
      </c>
      <c r="J2043">
        <v>515026.28</v>
      </c>
    </row>
    <row r="2044" spans="1:10" hidden="1" x14ac:dyDescent="0.25">
      <c r="A2044" t="s">
        <v>132</v>
      </c>
      <c r="B2044" t="s">
        <v>88</v>
      </c>
      <c r="C2044" s="1">
        <v>45768</v>
      </c>
      <c r="D2044" t="s">
        <v>604</v>
      </c>
      <c r="E2044" t="s">
        <v>136</v>
      </c>
      <c r="F2044" t="s">
        <v>11</v>
      </c>
      <c r="G2044" s="14">
        <v>27205.200000000001</v>
      </c>
      <c r="H2044">
        <v>1110</v>
      </c>
      <c r="I2044">
        <v>24.51</v>
      </c>
      <c r="J2044">
        <v>32918.29</v>
      </c>
    </row>
    <row r="2045" spans="1:10" hidden="1" x14ac:dyDescent="0.25">
      <c r="A2045" t="s">
        <v>161</v>
      </c>
      <c r="B2045" t="s">
        <v>88</v>
      </c>
      <c r="C2045" s="1">
        <v>45768</v>
      </c>
      <c r="D2045" t="s">
        <v>623</v>
      </c>
      <c r="E2045" t="s">
        <v>136</v>
      </c>
      <c r="F2045" t="s">
        <v>163</v>
      </c>
      <c r="G2045" s="14">
        <v>245989.6</v>
      </c>
      <c r="H2045">
        <v>1110</v>
      </c>
      <c r="I2045">
        <v>221.61</v>
      </c>
      <c r="J2045">
        <v>297647.42</v>
      </c>
    </row>
    <row r="2046" spans="1:10" hidden="1" x14ac:dyDescent="0.25">
      <c r="A2046" t="s">
        <v>497</v>
      </c>
      <c r="B2046" t="s">
        <v>88</v>
      </c>
      <c r="C2046" s="1">
        <v>45768</v>
      </c>
      <c r="D2046" t="s">
        <v>861</v>
      </c>
      <c r="E2046" t="s">
        <v>136</v>
      </c>
      <c r="F2046" t="s">
        <v>11</v>
      </c>
      <c r="G2046" s="14">
        <v>49858.25</v>
      </c>
      <c r="H2046">
        <v>1110</v>
      </c>
      <c r="I2046">
        <v>44.92</v>
      </c>
      <c r="J2046">
        <v>60328.480000000003</v>
      </c>
    </row>
    <row r="2047" spans="1:10" hidden="1" x14ac:dyDescent="0.25">
      <c r="A2047" t="s">
        <v>182</v>
      </c>
      <c r="B2047" t="s">
        <v>88</v>
      </c>
      <c r="C2047" s="1">
        <v>45764</v>
      </c>
      <c r="D2047" t="s">
        <v>643</v>
      </c>
      <c r="E2047" t="s">
        <v>184</v>
      </c>
      <c r="F2047" t="s">
        <v>11</v>
      </c>
      <c r="G2047" s="14">
        <v>170000</v>
      </c>
      <c r="H2047">
        <v>1160</v>
      </c>
      <c r="I2047">
        <v>146.55000000000001</v>
      </c>
      <c r="J2047">
        <v>205700</v>
      </c>
    </row>
    <row r="2048" spans="1:10" hidden="1" x14ac:dyDescent="0.25">
      <c r="A2048" t="s">
        <v>289</v>
      </c>
      <c r="B2048" t="s">
        <v>88</v>
      </c>
      <c r="C2048" s="1">
        <v>45764</v>
      </c>
      <c r="D2048" t="s">
        <v>700</v>
      </c>
      <c r="E2048" t="s">
        <v>138</v>
      </c>
      <c r="F2048" t="s">
        <v>139</v>
      </c>
      <c r="G2048" s="14">
        <v>22736</v>
      </c>
      <c r="H2048">
        <v>1160</v>
      </c>
      <c r="I2048">
        <v>19.600000000000001</v>
      </c>
      <c r="J2048">
        <v>27510.560000000001</v>
      </c>
    </row>
    <row r="2049" spans="1:10" hidden="1" x14ac:dyDescent="0.25">
      <c r="A2049" t="s">
        <v>112</v>
      </c>
      <c r="B2049" t="s">
        <v>88</v>
      </c>
      <c r="C2049" s="1">
        <v>45763</v>
      </c>
      <c r="D2049" t="s">
        <v>591</v>
      </c>
      <c r="E2049" t="s">
        <v>114</v>
      </c>
      <c r="F2049" t="s">
        <v>117</v>
      </c>
      <c r="G2049" s="14">
        <v>1155.52</v>
      </c>
      <c r="H2049">
        <v>1160</v>
      </c>
      <c r="I2049">
        <v>1</v>
      </c>
      <c r="J2049">
        <v>1398.18</v>
      </c>
    </row>
    <row r="2050" spans="1:10" hidden="1" x14ac:dyDescent="0.25">
      <c r="A2050" t="s">
        <v>353</v>
      </c>
      <c r="B2050" t="s">
        <v>88</v>
      </c>
      <c r="C2050" s="1">
        <v>45763</v>
      </c>
      <c r="D2050" t="s">
        <v>736</v>
      </c>
      <c r="E2050" t="s">
        <v>114</v>
      </c>
      <c r="F2050" t="s">
        <v>117</v>
      </c>
      <c r="G2050" s="14">
        <v>3928.84</v>
      </c>
      <c r="H2050">
        <v>1160</v>
      </c>
      <c r="I2050">
        <v>3.39</v>
      </c>
      <c r="J2050">
        <v>4753.8999999999996</v>
      </c>
    </row>
    <row r="2051" spans="1:10" hidden="1" x14ac:dyDescent="0.25">
      <c r="A2051" t="s">
        <v>443</v>
      </c>
      <c r="B2051" t="s">
        <v>88</v>
      </c>
      <c r="C2051" s="1">
        <v>45763</v>
      </c>
      <c r="D2051" t="s">
        <v>823</v>
      </c>
      <c r="E2051" t="s">
        <v>90</v>
      </c>
      <c r="F2051" t="s">
        <v>91</v>
      </c>
      <c r="G2051" s="14">
        <v>85902.43</v>
      </c>
      <c r="H2051">
        <v>1160</v>
      </c>
      <c r="I2051">
        <v>74.05</v>
      </c>
      <c r="J2051">
        <v>103941.95</v>
      </c>
    </row>
    <row r="2052" spans="1:10" hidden="1" x14ac:dyDescent="0.25">
      <c r="A2052" t="s">
        <v>443</v>
      </c>
      <c r="B2052" t="s">
        <v>88</v>
      </c>
      <c r="C2052" s="1">
        <v>45763</v>
      </c>
      <c r="D2052" t="s">
        <v>823</v>
      </c>
      <c r="E2052" t="s">
        <v>92</v>
      </c>
      <c r="F2052" t="s">
        <v>91</v>
      </c>
      <c r="G2052" s="14">
        <v>14075.09</v>
      </c>
      <c r="H2052">
        <v>1160</v>
      </c>
      <c r="I2052">
        <v>12.13</v>
      </c>
      <c r="J2052">
        <v>14075.09</v>
      </c>
    </row>
    <row r="2053" spans="1:10" hidden="1" x14ac:dyDescent="0.25">
      <c r="A2053" t="s">
        <v>443</v>
      </c>
      <c r="B2053" t="s">
        <v>88</v>
      </c>
      <c r="C2053" s="1">
        <v>45763</v>
      </c>
      <c r="D2053" t="s">
        <v>824</v>
      </c>
      <c r="E2053" t="s">
        <v>90</v>
      </c>
      <c r="F2053" t="s">
        <v>91</v>
      </c>
      <c r="G2053" s="14">
        <v>11115.7</v>
      </c>
      <c r="H2053">
        <v>1160</v>
      </c>
      <c r="I2053">
        <v>9.58</v>
      </c>
      <c r="J2053">
        <v>13450.01</v>
      </c>
    </row>
    <row r="2054" spans="1:10" hidden="1" x14ac:dyDescent="0.25">
      <c r="A2054" t="s">
        <v>832</v>
      </c>
      <c r="B2054" t="s">
        <v>88</v>
      </c>
      <c r="C2054" s="1">
        <v>45763</v>
      </c>
      <c r="D2054" t="s">
        <v>833</v>
      </c>
      <c r="E2054" t="s">
        <v>205</v>
      </c>
      <c r="F2054" t="s">
        <v>206</v>
      </c>
      <c r="G2054" s="14">
        <v>151500</v>
      </c>
      <c r="H2054">
        <v>1160</v>
      </c>
      <c r="I2054">
        <v>130.6</v>
      </c>
      <c r="J2054">
        <v>183315</v>
      </c>
    </row>
    <row r="2055" spans="1:10" hidden="1" x14ac:dyDescent="0.25">
      <c r="A2055" t="s">
        <v>240</v>
      </c>
      <c r="B2055" t="s">
        <v>88</v>
      </c>
      <c r="C2055" s="1">
        <v>45762</v>
      </c>
      <c r="D2055" t="s">
        <v>662</v>
      </c>
      <c r="E2055" t="s">
        <v>114</v>
      </c>
      <c r="F2055" t="s">
        <v>117</v>
      </c>
      <c r="G2055" s="14">
        <v>3719.01</v>
      </c>
      <c r="H2055">
        <v>1230</v>
      </c>
      <c r="I2055">
        <v>3.02</v>
      </c>
      <c r="J2055">
        <v>4500</v>
      </c>
    </row>
    <row r="2056" spans="1:10" hidden="1" x14ac:dyDescent="0.25">
      <c r="A2056" t="s">
        <v>372</v>
      </c>
      <c r="B2056" t="s">
        <v>88</v>
      </c>
      <c r="C2056" s="1">
        <v>45762</v>
      </c>
      <c r="D2056" t="s">
        <v>750</v>
      </c>
      <c r="E2056" t="s">
        <v>136</v>
      </c>
      <c r="F2056" t="s">
        <v>11</v>
      </c>
      <c r="G2056" s="14">
        <v>183581.52</v>
      </c>
      <c r="H2056">
        <v>1230</v>
      </c>
      <c r="I2056">
        <v>149.25</v>
      </c>
      <c r="J2056">
        <v>222133.64</v>
      </c>
    </row>
    <row r="2057" spans="1:10" hidden="1" x14ac:dyDescent="0.25">
      <c r="A2057" t="s">
        <v>372</v>
      </c>
      <c r="B2057" t="s">
        <v>88</v>
      </c>
      <c r="C2057" s="1">
        <v>45762</v>
      </c>
      <c r="D2057" t="s">
        <v>751</v>
      </c>
      <c r="E2057" t="s">
        <v>136</v>
      </c>
      <c r="F2057" t="s">
        <v>11</v>
      </c>
      <c r="G2057" s="14">
        <v>23576.639999999999</v>
      </c>
      <c r="H2057">
        <v>1230</v>
      </c>
      <c r="I2057">
        <v>19.170000000000002</v>
      </c>
      <c r="J2057">
        <v>28527.73</v>
      </c>
    </row>
    <row r="2058" spans="1:10" hidden="1" x14ac:dyDescent="0.25">
      <c r="A2058" t="s">
        <v>372</v>
      </c>
      <c r="B2058" t="s">
        <v>88</v>
      </c>
      <c r="C2058" s="1">
        <v>45762</v>
      </c>
      <c r="D2058" t="s">
        <v>752</v>
      </c>
      <c r="E2058" t="s">
        <v>136</v>
      </c>
      <c r="F2058" t="s">
        <v>11</v>
      </c>
      <c r="G2058" s="14">
        <v>3929.44</v>
      </c>
      <c r="H2058">
        <v>1230</v>
      </c>
      <c r="I2058">
        <v>3.19</v>
      </c>
      <c r="J2058">
        <v>4754.62</v>
      </c>
    </row>
    <row r="2059" spans="1:10" hidden="1" x14ac:dyDescent="0.25">
      <c r="A2059" t="s">
        <v>372</v>
      </c>
      <c r="B2059" t="s">
        <v>199</v>
      </c>
      <c r="C2059" s="1">
        <v>45762</v>
      </c>
      <c r="D2059" t="s">
        <v>755</v>
      </c>
      <c r="E2059" t="s">
        <v>136</v>
      </c>
      <c r="F2059" t="s">
        <v>11</v>
      </c>
      <c r="G2059" s="14">
        <v>-23576.639999999999</v>
      </c>
      <c r="H2059">
        <v>1230</v>
      </c>
      <c r="I2059">
        <v>-19.170000000000002</v>
      </c>
      <c r="J2059">
        <v>-28527.73</v>
      </c>
    </row>
    <row r="2060" spans="1:10" hidden="1" x14ac:dyDescent="0.25">
      <c r="A2060" t="s">
        <v>564</v>
      </c>
      <c r="B2060" t="s">
        <v>88</v>
      </c>
      <c r="C2060" s="1">
        <v>45761</v>
      </c>
      <c r="D2060" t="s">
        <v>568</v>
      </c>
      <c r="E2060" t="s">
        <v>127</v>
      </c>
      <c r="F2060" t="s">
        <v>210</v>
      </c>
      <c r="G2060" s="14">
        <v>6747.77</v>
      </c>
      <c r="H2060">
        <v>1230</v>
      </c>
      <c r="I2060">
        <v>5.49</v>
      </c>
      <c r="J2060">
        <v>6747.77</v>
      </c>
    </row>
    <row r="2061" spans="1:10" hidden="1" x14ac:dyDescent="0.25">
      <c r="A2061" t="s">
        <v>125</v>
      </c>
      <c r="B2061" t="s">
        <v>88</v>
      </c>
      <c r="C2061" s="1">
        <v>45761</v>
      </c>
      <c r="D2061" t="s">
        <v>595</v>
      </c>
      <c r="E2061" t="s">
        <v>114</v>
      </c>
      <c r="F2061" t="s">
        <v>117</v>
      </c>
      <c r="G2061" s="14">
        <v>4594.3999999999996</v>
      </c>
      <c r="H2061">
        <v>1230</v>
      </c>
      <c r="I2061">
        <v>3.74</v>
      </c>
      <c r="J2061">
        <v>5559.22</v>
      </c>
    </row>
    <row r="2062" spans="1:10" hidden="1" x14ac:dyDescent="0.25">
      <c r="A2062" t="s">
        <v>125</v>
      </c>
      <c r="B2062" t="s">
        <v>88</v>
      </c>
      <c r="C2062" s="1">
        <v>45761</v>
      </c>
      <c r="D2062" t="s">
        <v>595</v>
      </c>
      <c r="E2062" t="s">
        <v>127</v>
      </c>
      <c r="F2062" t="s">
        <v>117</v>
      </c>
      <c r="G2062" s="14">
        <v>459.44</v>
      </c>
      <c r="H2062">
        <v>1230</v>
      </c>
      <c r="I2062">
        <v>0.37</v>
      </c>
      <c r="J2062">
        <v>459.44</v>
      </c>
    </row>
    <row r="2063" spans="1:10" hidden="1" x14ac:dyDescent="0.25">
      <c r="A2063" t="s">
        <v>246</v>
      </c>
      <c r="B2063" t="s">
        <v>88</v>
      </c>
      <c r="C2063" s="1">
        <v>45761</v>
      </c>
      <c r="D2063" t="s">
        <v>667</v>
      </c>
      <c r="E2063" t="s">
        <v>114</v>
      </c>
      <c r="F2063" t="s">
        <v>117</v>
      </c>
      <c r="G2063" s="14">
        <v>31199.51</v>
      </c>
      <c r="H2063">
        <v>1230</v>
      </c>
      <c r="I2063">
        <v>25.37</v>
      </c>
      <c r="J2063">
        <v>37751.410000000003</v>
      </c>
    </row>
    <row r="2064" spans="1:10" hidden="1" x14ac:dyDescent="0.25">
      <c r="A2064" t="s">
        <v>246</v>
      </c>
      <c r="B2064" t="s">
        <v>88</v>
      </c>
      <c r="C2064" s="1">
        <v>45761</v>
      </c>
      <c r="D2064" t="s">
        <v>668</v>
      </c>
      <c r="E2064" t="s">
        <v>114</v>
      </c>
      <c r="F2064" t="s">
        <v>117</v>
      </c>
      <c r="G2064" s="14">
        <v>2079.9699999999998</v>
      </c>
      <c r="H2064">
        <v>1230</v>
      </c>
      <c r="I2064">
        <v>1.69</v>
      </c>
      <c r="J2064">
        <v>2516.7600000000002</v>
      </c>
    </row>
    <row r="2065" spans="1:10" hidden="1" x14ac:dyDescent="0.25">
      <c r="A2065" t="s">
        <v>504</v>
      </c>
      <c r="B2065" t="s">
        <v>88</v>
      </c>
      <c r="C2065" s="1">
        <v>45761</v>
      </c>
      <c r="D2065" t="s">
        <v>873</v>
      </c>
      <c r="E2065" t="s">
        <v>506</v>
      </c>
      <c r="F2065" t="s">
        <v>109</v>
      </c>
      <c r="G2065" s="14">
        <v>219535.1</v>
      </c>
      <c r="H2065">
        <v>1230</v>
      </c>
      <c r="I2065">
        <v>178.48</v>
      </c>
      <c r="J2065">
        <v>278809.58</v>
      </c>
    </row>
    <row r="2066" spans="1:10" hidden="1" x14ac:dyDescent="0.25">
      <c r="A2066" t="s">
        <v>504</v>
      </c>
      <c r="B2066" t="s">
        <v>88</v>
      </c>
      <c r="C2066" s="1">
        <v>45761</v>
      </c>
      <c r="D2066" t="s">
        <v>873</v>
      </c>
      <c r="E2066" t="s">
        <v>507</v>
      </c>
      <c r="F2066" t="s">
        <v>109</v>
      </c>
      <c r="G2066" s="14">
        <v>11554.35</v>
      </c>
      <c r="H2066">
        <v>1230</v>
      </c>
      <c r="I2066">
        <v>9.39</v>
      </c>
      <c r="J2066">
        <v>11554.35</v>
      </c>
    </row>
    <row r="2067" spans="1:10" hidden="1" x14ac:dyDescent="0.25">
      <c r="A2067" t="s">
        <v>564</v>
      </c>
      <c r="B2067" t="s">
        <v>88</v>
      </c>
      <c r="C2067" s="1">
        <v>45760</v>
      </c>
      <c r="D2067" t="s">
        <v>567</v>
      </c>
      <c r="E2067" t="s">
        <v>127</v>
      </c>
      <c r="F2067" t="s">
        <v>210</v>
      </c>
      <c r="G2067" s="14">
        <v>4600</v>
      </c>
      <c r="H2067">
        <v>1097.5</v>
      </c>
      <c r="I2067">
        <v>4.1900000000000004</v>
      </c>
      <c r="J2067">
        <v>4600</v>
      </c>
    </row>
    <row r="2068" spans="1:10" hidden="1" x14ac:dyDescent="0.25">
      <c r="A2068" t="s">
        <v>564</v>
      </c>
      <c r="B2068" t="s">
        <v>88</v>
      </c>
      <c r="C2068" s="1">
        <v>45758</v>
      </c>
      <c r="D2068" t="s">
        <v>565</v>
      </c>
      <c r="E2068" t="s">
        <v>297</v>
      </c>
      <c r="F2068" t="s">
        <v>210</v>
      </c>
      <c r="G2068" s="14">
        <v>577416.93999999994</v>
      </c>
      <c r="H2068">
        <v>1097.5</v>
      </c>
      <c r="I2068">
        <v>526.12</v>
      </c>
      <c r="J2068">
        <v>698674.5</v>
      </c>
    </row>
    <row r="2069" spans="1:10" hidden="1" x14ac:dyDescent="0.25">
      <c r="A2069" t="s">
        <v>443</v>
      </c>
      <c r="B2069" t="s">
        <v>88</v>
      </c>
      <c r="C2069" s="1">
        <v>45758</v>
      </c>
      <c r="D2069" t="s">
        <v>819</v>
      </c>
      <c r="E2069" t="s">
        <v>90</v>
      </c>
      <c r="F2069" t="s">
        <v>91</v>
      </c>
      <c r="G2069" s="14">
        <v>50743.51</v>
      </c>
      <c r="H2069">
        <v>1097.5</v>
      </c>
      <c r="I2069">
        <v>46.24</v>
      </c>
      <c r="J2069">
        <v>61399.66</v>
      </c>
    </row>
    <row r="2070" spans="1:10" hidden="1" x14ac:dyDescent="0.25">
      <c r="A2070" t="s">
        <v>443</v>
      </c>
      <c r="B2070" t="s">
        <v>88</v>
      </c>
      <c r="C2070" s="1">
        <v>45758</v>
      </c>
      <c r="D2070" t="s">
        <v>819</v>
      </c>
      <c r="E2070" t="s">
        <v>92</v>
      </c>
      <c r="F2070" t="s">
        <v>91</v>
      </c>
      <c r="G2070" s="14">
        <v>9606.31</v>
      </c>
      <c r="H2070">
        <v>1097.5</v>
      </c>
      <c r="I2070">
        <v>8.75</v>
      </c>
      <c r="J2070">
        <v>9606.31</v>
      </c>
    </row>
    <row r="2071" spans="1:10" hidden="1" x14ac:dyDescent="0.25">
      <c r="A2071" t="s">
        <v>443</v>
      </c>
      <c r="B2071" t="s">
        <v>88</v>
      </c>
      <c r="C2071" s="1">
        <v>45758</v>
      </c>
      <c r="D2071" t="s">
        <v>820</v>
      </c>
      <c r="E2071" t="s">
        <v>90</v>
      </c>
      <c r="F2071" t="s">
        <v>91</v>
      </c>
      <c r="G2071" s="14">
        <v>11033.06</v>
      </c>
      <c r="H2071">
        <v>1097.5</v>
      </c>
      <c r="I2071">
        <v>10.050000000000001</v>
      </c>
      <c r="J2071">
        <v>13350.01</v>
      </c>
    </row>
    <row r="2072" spans="1:10" hidden="1" x14ac:dyDescent="0.25">
      <c r="A2072" t="s">
        <v>473</v>
      </c>
      <c r="B2072" t="s">
        <v>88</v>
      </c>
      <c r="C2072" s="1">
        <v>45758</v>
      </c>
      <c r="D2072" t="s">
        <v>837</v>
      </c>
      <c r="E2072" t="s">
        <v>472</v>
      </c>
      <c r="F2072" t="s">
        <v>475</v>
      </c>
      <c r="G2072" s="14">
        <v>10201.24</v>
      </c>
      <c r="H2072">
        <v>1097.5</v>
      </c>
      <c r="I2072">
        <v>9.2899999999999991</v>
      </c>
      <c r="J2072">
        <v>12343.5</v>
      </c>
    </row>
    <row r="2073" spans="1:10" hidden="1" x14ac:dyDescent="0.25">
      <c r="A2073" t="s">
        <v>848</v>
      </c>
      <c r="B2073" t="s">
        <v>88</v>
      </c>
      <c r="C2073" s="1">
        <v>45758</v>
      </c>
      <c r="D2073" t="s">
        <v>849</v>
      </c>
      <c r="E2073" t="s">
        <v>147</v>
      </c>
      <c r="F2073" t="s">
        <v>91</v>
      </c>
      <c r="G2073" s="14">
        <v>4692.03</v>
      </c>
      <c r="H2073">
        <v>1097.5</v>
      </c>
      <c r="I2073">
        <v>4.28</v>
      </c>
      <c r="J2073">
        <v>4692.03</v>
      </c>
    </row>
    <row r="2074" spans="1:10" hidden="1" x14ac:dyDescent="0.25">
      <c r="A2074" t="s">
        <v>848</v>
      </c>
      <c r="B2074" t="s">
        <v>88</v>
      </c>
      <c r="C2074" s="1">
        <v>45758</v>
      </c>
      <c r="D2074" t="s">
        <v>849</v>
      </c>
      <c r="E2074" t="s">
        <v>90</v>
      </c>
      <c r="F2074" t="s">
        <v>91</v>
      </c>
      <c r="G2074" s="14">
        <v>24637.11</v>
      </c>
      <c r="H2074">
        <v>1097.5</v>
      </c>
      <c r="I2074">
        <v>22.45</v>
      </c>
      <c r="J2074">
        <v>29810.91</v>
      </c>
    </row>
    <row r="2075" spans="1:10" hidden="1" x14ac:dyDescent="0.25">
      <c r="A2075" t="s">
        <v>132</v>
      </c>
      <c r="B2075" t="s">
        <v>88</v>
      </c>
      <c r="C2075" s="1">
        <v>45757</v>
      </c>
      <c r="D2075" t="s">
        <v>603</v>
      </c>
      <c r="E2075" t="s">
        <v>136</v>
      </c>
      <c r="F2075" t="s">
        <v>135</v>
      </c>
      <c r="G2075" s="14">
        <v>28441.22</v>
      </c>
      <c r="H2075">
        <v>1096.75</v>
      </c>
      <c r="I2075">
        <v>25.93</v>
      </c>
      <c r="J2075">
        <v>34413.879999999997</v>
      </c>
    </row>
    <row r="2076" spans="1:10" hidden="1" x14ac:dyDescent="0.25">
      <c r="A2076" t="s">
        <v>656</v>
      </c>
      <c r="B2076" t="s">
        <v>88</v>
      </c>
      <c r="C2076" s="1">
        <v>45757</v>
      </c>
      <c r="D2076" t="s">
        <v>657</v>
      </c>
      <c r="E2076" t="s">
        <v>205</v>
      </c>
      <c r="F2076" t="s">
        <v>210</v>
      </c>
      <c r="G2076" s="14">
        <v>49586.78</v>
      </c>
      <c r="H2076">
        <v>1096.75</v>
      </c>
      <c r="I2076">
        <v>45.21</v>
      </c>
      <c r="J2076">
        <v>60000</v>
      </c>
    </row>
    <row r="2077" spans="1:10" hidden="1" x14ac:dyDescent="0.25">
      <c r="A2077" t="s">
        <v>295</v>
      </c>
      <c r="B2077" t="s">
        <v>88</v>
      </c>
      <c r="C2077" s="1">
        <v>45757</v>
      </c>
      <c r="D2077" t="s">
        <v>702</v>
      </c>
      <c r="E2077" t="s">
        <v>297</v>
      </c>
      <c r="F2077" t="s">
        <v>210</v>
      </c>
      <c r="G2077" s="14">
        <v>24904.959999999999</v>
      </c>
      <c r="H2077">
        <v>1096.75</v>
      </c>
      <c r="I2077">
        <v>22.71</v>
      </c>
      <c r="J2077">
        <v>30135</v>
      </c>
    </row>
    <row r="2078" spans="1:10" hidden="1" x14ac:dyDescent="0.25">
      <c r="A2078" t="s">
        <v>791</v>
      </c>
      <c r="B2078" t="s">
        <v>96</v>
      </c>
      <c r="C2078" s="1">
        <v>45757</v>
      </c>
      <c r="D2078" t="s">
        <v>792</v>
      </c>
      <c r="E2078" t="s">
        <v>98</v>
      </c>
      <c r="F2078" t="s">
        <v>793</v>
      </c>
      <c r="G2078" s="14">
        <v>3030.62</v>
      </c>
      <c r="H2078">
        <v>1096.75</v>
      </c>
      <c r="I2078">
        <v>2.76</v>
      </c>
      <c r="J2078">
        <v>3030.62</v>
      </c>
    </row>
    <row r="2079" spans="1:10" hidden="1" x14ac:dyDescent="0.25">
      <c r="A2079" t="s">
        <v>791</v>
      </c>
      <c r="B2079" t="s">
        <v>96</v>
      </c>
      <c r="C2079" s="1">
        <v>45757</v>
      </c>
      <c r="D2079" t="s">
        <v>794</v>
      </c>
      <c r="E2079" t="s">
        <v>98</v>
      </c>
      <c r="F2079" t="s">
        <v>551</v>
      </c>
      <c r="G2079" s="14">
        <v>29669.07</v>
      </c>
      <c r="H2079">
        <v>1096.75</v>
      </c>
      <c r="I2079">
        <v>27.05</v>
      </c>
      <c r="J2079">
        <v>29669.07</v>
      </c>
    </row>
    <row r="2080" spans="1:10" hidden="1" x14ac:dyDescent="0.25">
      <c r="A2080" t="s">
        <v>852</v>
      </c>
      <c r="B2080" t="s">
        <v>88</v>
      </c>
      <c r="C2080" s="1">
        <v>45757</v>
      </c>
      <c r="D2080" t="s">
        <v>853</v>
      </c>
      <c r="E2080" t="s">
        <v>218</v>
      </c>
      <c r="F2080" t="s">
        <v>117</v>
      </c>
      <c r="G2080" s="14">
        <v>18429.75</v>
      </c>
      <c r="H2080">
        <v>1096.75</v>
      </c>
      <c r="I2080">
        <v>16.8</v>
      </c>
      <c r="J2080">
        <v>22300</v>
      </c>
    </row>
    <row r="2081" spans="1:10" hidden="1" x14ac:dyDescent="0.25">
      <c r="A2081" t="s">
        <v>497</v>
      </c>
      <c r="B2081" t="s">
        <v>88</v>
      </c>
      <c r="C2081" s="1">
        <v>45757</v>
      </c>
      <c r="D2081" t="s">
        <v>858</v>
      </c>
      <c r="E2081" t="s">
        <v>136</v>
      </c>
      <c r="F2081" t="s">
        <v>11</v>
      </c>
      <c r="G2081" s="14">
        <v>142361</v>
      </c>
      <c r="H2081">
        <v>1096.75</v>
      </c>
      <c r="I2081">
        <v>129.80000000000001</v>
      </c>
      <c r="J2081">
        <v>172256.81</v>
      </c>
    </row>
    <row r="2082" spans="1:10" hidden="1" x14ac:dyDescent="0.25">
      <c r="A2082" t="s">
        <v>882</v>
      </c>
      <c r="B2082" t="s">
        <v>88</v>
      </c>
      <c r="C2082" s="1">
        <v>45757</v>
      </c>
      <c r="D2082" t="s">
        <v>883</v>
      </c>
      <c r="E2082" t="s">
        <v>90</v>
      </c>
      <c r="F2082" t="s">
        <v>91</v>
      </c>
      <c r="G2082" s="14">
        <v>4528.49</v>
      </c>
      <c r="H2082">
        <v>1096.75</v>
      </c>
      <c r="I2082">
        <v>4.13</v>
      </c>
      <c r="J2082">
        <v>5479.48</v>
      </c>
    </row>
    <row r="2083" spans="1:10" hidden="1" x14ac:dyDescent="0.25">
      <c r="A2083" t="s">
        <v>882</v>
      </c>
      <c r="B2083" t="s">
        <v>88</v>
      </c>
      <c r="C2083" s="1">
        <v>45757</v>
      </c>
      <c r="D2083" t="s">
        <v>883</v>
      </c>
      <c r="E2083" t="s">
        <v>92</v>
      </c>
      <c r="F2083" t="s">
        <v>91</v>
      </c>
      <c r="G2083" s="14">
        <v>70.53</v>
      </c>
      <c r="H2083">
        <v>1096.75</v>
      </c>
      <c r="I2083">
        <v>0.06</v>
      </c>
      <c r="J2083">
        <v>70.53</v>
      </c>
    </row>
    <row r="2084" spans="1:10" hidden="1" x14ac:dyDescent="0.25">
      <c r="A2084" t="s">
        <v>533</v>
      </c>
      <c r="B2084" t="s">
        <v>88</v>
      </c>
      <c r="C2084" s="1">
        <v>45757</v>
      </c>
      <c r="D2084" t="s">
        <v>917</v>
      </c>
      <c r="E2084" t="s">
        <v>90</v>
      </c>
      <c r="F2084" t="s">
        <v>91</v>
      </c>
      <c r="G2084" s="14">
        <v>87387.93</v>
      </c>
      <c r="H2084">
        <v>1096.75</v>
      </c>
      <c r="I2084">
        <v>79.680000000000007</v>
      </c>
      <c r="J2084">
        <v>105739.41</v>
      </c>
    </row>
    <row r="2085" spans="1:10" hidden="1" x14ac:dyDescent="0.25">
      <c r="A2085" t="s">
        <v>533</v>
      </c>
      <c r="B2085" t="s">
        <v>88</v>
      </c>
      <c r="C2085" s="1">
        <v>45757</v>
      </c>
      <c r="D2085" t="s">
        <v>917</v>
      </c>
      <c r="E2085" t="s">
        <v>92</v>
      </c>
      <c r="F2085" t="s">
        <v>91</v>
      </c>
      <c r="G2085" s="14">
        <v>13260.67</v>
      </c>
      <c r="H2085">
        <v>1096.75</v>
      </c>
      <c r="I2085">
        <v>12.09</v>
      </c>
      <c r="J2085">
        <v>13260.67</v>
      </c>
    </row>
    <row r="2086" spans="1:10" hidden="1" x14ac:dyDescent="0.25">
      <c r="A2086" t="s">
        <v>533</v>
      </c>
      <c r="B2086" t="s">
        <v>88</v>
      </c>
      <c r="C2086" s="1">
        <v>45757</v>
      </c>
      <c r="D2086" t="s">
        <v>918</v>
      </c>
      <c r="E2086" t="s">
        <v>90</v>
      </c>
      <c r="F2086" t="s">
        <v>91</v>
      </c>
      <c r="G2086" s="14">
        <v>7974.1</v>
      </c>
      <c r="H2086">
        <v>1096.75</v>
      </c>
      <c r="I2086">
        <v>7.27</v>
      </c>
      <c r="J2086">
        <v>9648.67</v>
      </c>
    </row>
    <row r="2087" spans="1:10" hidden="1" x14ac:dyDescent="0.25">
      <c r="A2087" t="s">
        <v>533</v>
      </c>
      <c r="B2087" t="s">
        <v>88</v>
      </c>
      <c r="C2087" s="1">
        <v>45757</v>
      </c>
      <c r="D2087" t="s">
        <v>918</v>
      </c>
      <c r="E2087" t="s">
        <v>92</v>
      </c>
      <c r="F2087" t="s">
        <v>91</v>
      </c>
      <c r="G2087" s="14">
        <v>51.33</v>
      </c>
      <c r="H2087">
        <v>1096.75</v>
      </c>
      <c r="I2087">
        <v>0.05</v>
      </c>
      <c r="J2087">
        <v>51.33</v>
      </c>
    </row>
    <row r="2088" spans="1:10" hidden="1" x14ac:dyDescent="0.25">
      <c r="A2088" t="s">
        <v>81</v>
      </c>
      <c r="B2088" t="s">
        <v>208</v>
      </c>
      <c r="C2088" s="1">
        <v>45756</v>
      </c>
      <c r="D2088" t="s">
        <v>571</v>
      </c>
      <c r="E2088" t="s">
        <v>84</v>
      </c>
      <c r="F2088" t="s">
        <v>210</v>
      </c>
      <c r="G2088" s="14">
        <v>4446544.07</v>
      </c>
      <c r="H2088">
        <v>1096.5</v>
      </c>
      <c r="I2088">
        <v>4055.22</v>
      </c>
      <c r="J2088">
        <v>4446544.07</v>
      </c>
    </row>
    <row r="2089" spans="1:10" hidden="1" x14ac:dyDescent="0.25">
      <c r="A2089" t="s">
        <v>81</v>
      </c>
      <c r="B2089" t="s">
        <v>208</v>
      </c>
      <c r="C2089" s="1">
        <v>45756</v>
      </c>
      <c r="D2089" t="s">
        <v>571</v>
      </c>
      <c r="E2089" t="s">
        <v>86</v>
      </c>
      <c r="G2089" s="14">
        <v>0</v>
      </c>
      <c r="H2089">
        <v>1096.5</v>
      </c>
      <c r="I2089">
        <v>0</v>
      </c>
      <c r="J2089">
        <v>3376712.85</v>
      </c>
    </row>
    <row r="2090" spans="1:10" hidden="1" x14ac:dyDescent="0.25">
      <c r="A2090" t="s">
        <v>161</v>
      </c>
      <c r="B2090" t="s">
        <v>88</v>
      </c>
      <c r="C2090" s="1">
        <v>45756</v>
      </c>
      <c r="D2090" t="s">
        <v>620</v>
      </c>
      <c r="E2090" t="s">
        <v>136</v>
      </c>
      <c r="F2090" t="s">
        <v>621</v>
      </c>
      <c r="G2090" s="14">
        <v>789854.32</v>
      </c>
      <c r="H2090">
        <v>1096.5</v>
      </c>
      <c r="I2090">
        <v>720.34</v>
      </c>
      <c r="J2090">
        <v>955723.73</v>
      </c>
    </row>
    <row r="2091" spans="1:10" hidden="1" x14ac:dyDescent="0.25">
      <c r="A2091" t="s">
        <v>182</v>
      </c>
      <c r="B2091" t="s">
        <v>88</v>
      </c>
      <c r="C2091" s="1">
        <v>45756</v>
      </c>
      <c r="D2091" t="s">
        <v>639</v>
      </c>
      <c r="E2091" t="s">
        <v>184</v>
      </c>
      <c r="F2091" t="s">
        <v>621</v>
      </c>
      <c r="G2091" s="14">
        <v>21000</v>
      </c>
      <c r="H2091">
        <v>1096.5</v>
      </c>
      <c r="I2091">
        <v>19.149999999999999</v>
      </c>
      <c r="J2091">
        <v>25410</v>
      </c>
    </row>
    <row r="2092" spans="1:10" hidden="1" x14ac:dyDescent="0.25">
      <c r="A2092" t="s">
        <v>182</v>
      </c>
      <c r="B2092" t="s">
        <v>88</v>
      </c>
      <c r="C2092" s="1">
        <v>45756</v>
      </c>
      <c r="D2092" t="s">
        <v>640</v>
      </c>
      <c r="E2092" t="s">
        <v>184</v>
      </c>
      <c r="F2092" t="s">
        <v>11</v>
      </c>
      <c r="G2092" s="14">
        <v>189408.05</v>
      </c>
      <c r="H2092">
        <v>1096.5</v>
      </c>
      <c r="I2092">
        <v>172.74</v>
      </c>
      <c r="J2092">
        <v>229183.74</v>
      </c>
    </row>
    <row r="2093" spans="1:10" hidden="1" x14ac:dyDescent="0.25">
      <c r="A2093" t="s">
        <v>182</v>
      </c>
      <c r="B2093" t="s">
        <v>88</v>
      </c>
      <c r="C2093" s="1">
        <v>45756</v>
      </c>
      <c r="D2093" t="s">
        <v>641</v>
      </c>
      <c r="E2093" t="s">
        <v>184</v>
      </c>
      <c r="F2093" t="s">
        <v>11</v>
      </c>
      <c r="G2093" s="14">
        <v>13227.71</v>
      </c>
      <c r="H2093">
        <v>1096.5</v>
      </c>
      <c r="I2093">
        <v>12.06</v>
      </c>
      <c r="J2093">
        <v>16005.53</v>
      </c>
    </row>
    <row r="2094" spans="1:10" hidden="1" x14ac:dyDescent="0.25">
      <c r="A2094" t="s">
        <v>149</v>
      </c>
      <c r="B2094" t="s">
        <v>470</v>
      </c>
      <c r="C2094" s="1">
        <v>45755</v>
      </c>
      <c r="D2094" t="s">
        <v>614</v>
      </c>
      <c r="E2094" t="s">
        <v>472</v>
      </c>
      <c r="F2094" t="s">
        <v>475</v>
      </c>
      <c r="G2094" s="14">
        <v>3298.49</v>
      </c>
      <c r="H2094">
        <v>1096</v>
      </c>
      <c r="I2094">
        <v>3.01</v>
      </c>
      <c r="J2094">
        <v>3991.17</v>
      </c>
    </row>
    <row r="2095" spans="1:10" hidden="1" x14ac:dyDescent="0.25">
      <c r="A2095" t="s">
        <v>149</v>
      </c>
      <c r="B2095" t="s">
        <v>470</v>
      </c>
      <c r="C2095" s="1">
        <v>45755</v>
      </c>
      <c r="D2095" t="s">
        <v>614</v>
      </c>
      <c r="E2095" t="s">
        <v>212</v>
      </c>
      <c r="F2095" t="s">
        <v>475</v>
      </c>
      <c r="G2095" s="14">
        <v>72.569999999999993</v>
      </c>
      <c r="H2095">
        <v>1096</v>
      </c>
      <c r="I2095">
        <v>7.0000000000000007E-2</v>
      </c>
      <c r="J2095">
        <v>72.569999999999993</v>
      </c>
    </row>
    <row r="2096" spans="1:10" hidden="1" x14ac:dyDescent="0.25">
      <c r="A2096" t="s">
        <v>324</v>
      </c>
      <c r="B2096" t="s">
        <v>88</v>
      </c>
      <c r="C2096" s="1">
        <v>45755</v>
      </c>
      <c r="D2096" t="s">
        <v>720</v>
      </c>
      <c r="E2096" t="s">
        <v>329</v>
      </c>
      <c r="F2096" t="s">
        <v>9</v>
      </c>
      <c r="G2096" s="14">
        <v>296181.21999999997</v>
      </c>
      <c r="H2096">
        <v>1096</v>
      </c>
      <c r="I2096">
        <v>270.24</v>
      </c>
      <c r="J2096">
        <v>296181.21999999997</v>
      </c>
    </row>
    <row r="2097" spans="1:10" hidden="1" x14ac:dyDescent="0.25">
      <c r="A2097" t="s">
        <v>393</v>
      </c>
      <c r="B2097" t="s">
        <v>88</v>
      </c>
      <c r="C2097" s="1">
        <v>45755</v>
      </c>
      <c r="D2097" t="s">
        <v>768</v>
      </c>
      <c r="E2097" t="s">
        <v>205</v>
      </c>
      <c r="F2097" t="s">
        <v>206</v>
      </c>
      <c r="G2097" s="14">
        <v>46398</v>
      </c>
      <c r="H2097">
        <v>1096</v>
      </c>
      <c r="I2097">
        <v>42.33</v>
      </c>
      <c r="J2097">
        <v>56141.58</v>
      </c>
    </row>
    <row r="2098" spans="1:10" hidden="1" x14ac:dyDescent="0.25">
      <c r="A2098" t="s">
        <v>246</v>
      </c>
      <c r="B2098" t="s">
        <v>88</v>
      </c>
      <c r="C2098" s="1">
        <v>45754</v>
      </c>
      <c r="D2098" t="s">
        <v>665</v>
      </c>
      <c r="E2098" t="s">
        <v>114</v>
      </c>
      <c r="F2098" t="s">
        <v>117</v>
      </c>
      <c r="G2098" s="14">
        <v>8943.85</v>
      </c>
      <c r="H2098">
        <v>1095.75</v>
      </c>
      <c r="I2098">
        <v>8.16</v>
      </c>
      <c r="J2098">
        <v>10822.06</v>
      </c>
    </row>
    <row r="2099" spans="1:10" hidden="1" x14ac:dyDescent="0.25">
      <c r="A2099" t="s">
        <v>695</v>
      </c>
      <c r="B2099" t="s">
        <v>96</v>
      </c>
      <c r="C2099" s="1">
        <v>45754</v>
      </c>
      <c r="D2099" t="s">
        <v>696</v>
      </c>
      <c r="E2099" t="s">
        <v>212</v>
      </c>
      <c r="F2099" t="s">
        <v>9</v>
      </c>
      <c r="G2099" s="14">
        <v>3242</v>
      </c>
      <c r="H2099">
        <v>1095.75</v>
      </c>
      <c r="I2099">
        <v>2.96</v>
      </c>
      <c r="J2099">
        <v>3242</v>
      </c>
    </row>
    <row r="2100" spans="1:10" hidden="1" x14ac:dyDescent="0.25">
      <c r="A2100" t="s">
        <v>343</v>
      </c>
      <c r="B2100" t="s">
        <v>88</v>
      </c>
      <c r="C2100" s="1">
        <v>45754</v>
      </c>
      <c r="D2100" t="s">
        <v>728</v>
      </c>
      <c r="E2100" t="s">
        <v>136</v>
      </c>
      <c r="F2100" t="s">
        <v>11</v>
      </c>
      <c r="G2100" s="14">
        <v>24757.69</v>
      </c>
      <c r="H2100">
        <v>1095.75</v>
      </c>
      <c r="I2100">
        <v>22.59</v>
      </c>
      <c r="J2100">
        <v>29956.799999999999</v>
      </c>
    </row>
    <row r="2101" spans="1:10" hidden="1" x14ac:dyDescent="0.25">
      <c r="A2101" t="s">
        <v>501</v>
      </c>
      <c r="B2101" t="s">
        <v>88</v>
      </c>
      <c r="C2101" s="1">
        <v>45754</v>
      </c>
      <c r="D2101" t="s">
        <v>868</v>
      </c>
      <c r="E2101" t="s">
        <v>205</v>
      </c>
      <c r="F2101" t="s">
        <v>109</v>
      </c>
      <c r="G2101" s="14">
        <v>188931.36</v>
      </c>
      <c r="H2101">
        <v>1095.75</v>
      </c>
      <c r="I2101">
        <v>172.42</v>
      </c>
      <c r="J2101">
        <v>228606.95</v>
      </c>
    </row>
    <row r="2102" spans="1:10" hidden="1" x14ac:dyDescent="0.25">
      <c r="A2102" t="s">
        <v>527</v>
      </c>
      <c r="B2102" t="s">
        <v>88</v>
      </c>
      <c r="C2102" s="1">
        <v>45754</v>
      </c>
      <c r="D2102" t="s">
        <v>905</v>
      </c>
      <c r="E2102" t="s">
        <v>297</v>
      </c>
      <c r="F2102" t="s">
        <v>210</v>
      </c>
      <c r="G2102" s="14">
        <v>566941.03</v>
      </c>
      <c r="H2102">
        <v>1095.75</v>
      </c>
      <c r="I2102">
        <v>517.4</v>
      </c>
      <c r="J2102">
        <v>685998.65</v>
      </c>
    </row>
    <row r="2103" spans="1:10" hidden="1" x14ac:dyDescent="0.25">
      <c r="A2103" t="s">
        <v>527</v>
      </c>
      <c r="B2103" t="s">
        <v>88</v>
      </c>
      <c r="C2103" s="1">
        <v>45754</v>
      </c>
      <c r="D2103" t="s">
        <v>905</v>
      </c>
      <c r="E2103" t="s">
        <v>84</v>
      </c>
      <c r="F2103" t="s">
        <v>210</v>
      </c>
      <c r="G2103" s="14">
        <v>2502402.9900000002</v>
      </c>
      <c r="H2103">
        <v>1095.75</v>
      </c>
      <c r="I2103">
        <v>2283.7399999999998</v>
      </c>
      <c r="J2103">
        <v>2502402.9900000002</v>
      </c>
    </row>
    <row r="2104" spans="1:10" hidden="1" x14ac:dyDescent="0.25">
      <c r="A2104" t="s">
        <v>931</v>
      </c>
      <c r="B2104" t="s">
        <v>88</v>
      </c>
      <c r="C2104" s="1">
        <v>45754</v>
      </c>
      <c r="D2104" t="s">
        <v>932</v>
      </c>
      <c r="E2104" t="s">
        <v>90</v>
      </c>
      <c r="F2104" t="s">
        <v>91</v>
      </c>
      <c r="G2104" s="14">
        <v>75700.33</v>
      </c>
      <c r="H2104">
        <v>1095.75</v>
      </c>
      <c r="I2104">
        <v>69.09</v>
      </c>
      <c r="J2104">
        <v>91597.4</v>
      </c>
    </row>
    <row r="2105" spans="1:10" hidden="1" x14ac:dyDescent="0.25">
      <c r="A2105" t="s">
        <v>931</v>
      </c>
      <c r="B2105" t="s">
        <v>88</v>
      </c>
      <c r="C2105" s="1">
        <v>45754</v>
      </c>
      <c r="D2105" t="s">
        <v>932</v>
      </c>
      <c r="E2105" t="s">
        <v>92</v>
      </c>
      <c r="F2105" t="s">
        <v>91</v>
      </c>
      <c r="G2105" s="14">
        <v>6605.54</v>
      </c>
      <c r="H2105">
        <v>1095.75</v>
      </c>
      <c r="I2105">
        <v>6.03</v>
      </c>
      <c r="J2105">
        <v>6605.54</v>
      </c>
    </row>
    <row r="2106" spans="1:10" hidden="1" x14ac:dyDescent="0.25">
      <c r="A2106" t="s">
        <v>175</v>
      </c>
      <c r="B2106" t="s">
        <v>88</v>
      </c>
      <c r="C2106" s="1">
        <v>45751</v>
      </c>
      <c r="D2106" t="s">
        <v>631</v>
      </c>
      <c r="E2106" t="s">
        <v>177</v>
      </c>
      <c r="F2106" t="s">
        <v>109</v>
      </c>
      <c r="G2106" s="14">
        <v>13639.45</v>
      </c>
      <c r="H2106">
        <v>1095.5</v>
      </c>
      <c r="I2106">
        <v>12.45</v>
      </c>
      <c r="J2106">
        <v>17322.099999999999</v>
      </c>
    </row>
    <row r="2107" spans="1:10" hidden="1" x14ac:dyDescent="0.25">
      <c r="A2107" t="s">
        <v>175</v>
      </c>
      <c r="B2107" t="s">
        <v>88</v>
      </c>
      <c r="C2107" s="1">
        <v>45751</v>
      </c>
      <c r="D2107" t="s">
        <v>631</v>
      </c>
      <c r="E2107" t="s">
        <v>180</v>
      </c>
      <c r="F2107" t="s">
        <v>109</v>
      </c>
      <c r="G2107" s="14">
        <v>409.18</v>
      </c>
      <c r="H2107">
        <v>1095.5</v>
      </c>
      <c r="I2107">
        <v>0.37</v>
      </c>
      <c r="J2107">
        <v>409.18</v>
      </c>
    </row>
    <row r="2108" spans="1:10" hidden="1" x14ac:dyDescent="0.25">
      <c r="A2108" t="s">
        <v>289</v>
      </c>
      <c r="B2108" t="s">
        <v>88</v>
      </c>
      <c r="C2108" s="1">
        <v>45751</v>
      </c>
      <c r="D2108" t="s">
        <v>699</v>
      </c>
      <c r="E2108" t="s">
        <v>138</v>
      </c>
      <c r="F2108" t="s">
        <v>139</v>
      </c>
      <c r="G2108" s="14">
        <v>15856</v>
      </c>
      <c r="H2108">
        <v>1095.5</v>
      </c>
      <c r="I2108">
        <v>14.47</v>
      </c>
      <c r="J2108">
        <v>19185.759999999998</v>
      </c>
    </row>
    <row r="2109" spans="1:10" hidden="1" x14ac:dyDescent="0.25">
      <c r="A2109" t="s">
        <v>343</v>
      </c>
      <c r="B2109" t="s">
        <v>88</v>
      </c>
      <c r="C2109" s="1">
        <v>45751</v>
      </c>
      <c r="D2109" t="s">
        <v>726</v>
      </c>
      <c r="E2109" t="s">
        <v>136</v>
      </c>
      <c r="F2109" t="s">
        <v>11</v>
      </c>
      <c r="G2109" s="14">
        <v>44369.25</v>
      </c>
      <c r="H2109">
        <v>1095.5</v>
      </c>
      <c r="I2109">
        <v>40.5</v>
      </c>
      <c r="J2109">
        <v>53686.79</v>
      </c>
    </row>
    <row r="2110" spans="1:10" hidden="1" x14ac:dyDescent="0.25">
      <c r="A2110" t="s">
        <v>744</v>
      </c>
      <c r="B2110" t="s">
        <v>88</v>
      </c>
      <c r="C2110" s="1">
        <v>45751</v>
      </c>
      <c r="D2110" t="s">
        <v>745</v>
      </c>
      <c r="E2110" t="s">
        <v>218</v>
      </c>
      <c r="F2110" t="s">
        <v>117</v>
      </c>
      <c r="G2110" s="14">
        <v>45371.9</v>
      </c>
      <c r="H2110">
        <v>1095.5</v>
      </c>
      <c r="I2110">
        <v>41.42</v>
      </c>
      <c r="J2110">
        <v>54900</v>
      </c>
    </row>
    <row r="2111" spans="1:10" hidden="1" x14ac:dyDescent="0.25">
      <c r="A2111" t="s">
        <v>383</v>
      </c>
      <c r="B2111" t="s">
        <v>88</v>
      </c>
      <c r="C2111" s="1">
        <v>45751</v>
      </c>
      <c r="D2111" t="s">
        <v>762</v>
      </c>
      <c r="E2111" t="s">
        <v>136</v>
      </c>
      <c r="F2111" t="s">
        <v>10</v>
      </c>
      <c r="G2111" s="14">
        <v>97277.71</v>
      </c>
      <c r="H2111">
        <v>1095.5</v>
      </c>
      <c r="I2111">
        <v>88.8</v>
      </c>
      <c r="J2111">
        <v>117706.03</v>
      </c>
    </row>
    <row r="2112" spans="1:10" hidden="1" x14ac:dyDescent="0.25">
      <c r="A2112" t="s">
        <v>483</v>
      </c>
      <c r="B2112" t="s">
        <v>88</v>
      </c>
      <c r="C2112" s="1">
        <v>45751</v>
      </c>
      <c r="D2112" t="s">
        <v>846</v>
      </c>
      <c r="E2112" t="s">
        <v>136</v>
      </c>
      <c r="F2112" t="s">
        <v>11</v>
      </c>
      <c r="G2112" s="14">
        <v>46323.5</v>
      </c>
      <c r="H2112">
        <v>1095.5</v>
      </c>
      <c r="I2112">
        <v>42.29</v>
      </c>
      <c r="J2112">
        <v>56051.44</v>
      </c>
    </row>
    <row r="2113" spans="1:10" hidden="1" x14ac:dyDescent="0.25">
      <c r="A2113" t="s">
        <v>515</v>
      </c>
      <c r="B2113" t="s">
        <v>88</v>
      </c>
      <c r="C2113" s="1">
        <v>45751</v>
      </c>
      <c r="D2113" t="s">
        <v>890</v>
      </c>
      <c r="E2113" t="s">
        <v>184</v>
      </c>
      <c r="F2113" t="s">
        <v>9</v>
      </c>
      <c r="G2113" s="14">
        <v>10784</v>
      </c>
      <c r="H2113">
        <v>1095.5</v>
      </c>
      <c r="I2113">
        <v>9.84</v>
      </c>
      <c r="J2113">
        <v>13048.64</v>
      </c>
    </row>
    <row r="2114" spans="1:10" hidden="1" x14ac:dyDescent="0.25">
      <c r="A2114" t="s">
        <v>533</v>
      </c>
      <c r="B2114" t="s">
        <v>88</v>
      </c>
      <c r="C2114" s="1">
        <v>45751</v>
      </c>
      <c r="D2114" t="s">
        <v>913</v>
      </c>
      <c r="E2114" t="s">
        <v>90</v>
      </c>
      <c r="F2114" t="s">
        <v>91</v>
      </c>
      <c r="G2114" s="14">
        <v>47000</v>
      </c>
      <c r="H2114">
        <v>1095.5</v>
      </c>
      <c r="I2114">
        <v>42.9</v>
      </c>
      <c r="J2114">
        <v>56870.01</v>
      </c>
    </row>
    <row r="2115" spans="1:10" hidden="1" x14ac:dyDescent="0.25">
      <c r="A2115" t="s">
        <v>533</v>
      </c>
      <c r="B2115" t="s">
        <v>88</v>
      </c>
      <c r="C2115" s="1">
        <v>45751</v>
      </c>
      <c r="D2115" t="s">
        <v>913</v>
      </c>
      <c r="E2115" t="s">
        <v>92</v>
      </c>
      <c r="F2115" t="s">
        <v>91</v>
      </c>
      <c r="G2115" s="14">
        <v>7132.01</v>
      </c>
      <c r="H2115">
        <v>1095.5</v>
      </c>
      <c r="I2115">
        <v>6.51</v>
      </c>
      <c r="J2115">
        <v>7132.01</v>
      </c>
    </row>
    <row r="2116" spans="1:10" hidden="1" x14ac:dyDescent="0.25">
      <c r="A2116" t="s">
        <v>581</v>
      </c>
      <c r="B2116" t="s">
        <v>88</v>
      </c>
      <c r="C2116" s="1">
        <v>45750</v>
      </c>
      <c r="D2116" t="s">
        <v>582</v>
      </c>
      <c r="E2116" t="s">
        <v>205</v>
      </c>
      <c r="F2116" t="s">
        <v>117</v>
      </c>
      <c r="G2116" s="14">
        <v>52449.01</v>
      </c>
      <c r="H2116">
        <v>1094.5</v>
      </c>
      <c r="I2116">
        <v>47.92</v>
      </c>
      <c r="J2116">
        <v>63463.3</v>
      </c>
    </row>
    <row r="2117" spans="1:10" hidden="1" x14ac:dyDescent="0.25">
      <c r="A2117" t="s">
        <v>581</v>
      </c>
      <c r="B2117" t="s">
        <v>88</v>
      </c>
      <c r="C2117" s="1">
        <v>45750</v>
      </c>
      <c r="D2117" t="s">
        <v>582</v>
      </c>
      <c r="E2117" t="s">
        <v>102</v>
      </c>
      <c r="F2117" t="s">
        <v>117</v>
      </c>
      <c r="G2117" s="14">
        <v>262.25</v>
      </c>
      <c r="H2117">
        <v>1094.5</v>
      </c>
      <c r="I2117">
        <v>0.24</v>
      </c>
      <c r="J2117">
        <v>262.25</v>
      </c>
    </row>
    <row r="2118" spans="1:10" hidden="1" x14ac:dyDescent="0.25">
      <c r="A2118" t="s">
        <v>132</v>
      </c>
      <c r="B2118" t="s">
        <v>88</v>
      </c>
      <c r="C2118" s="1">
        <v>45750</v>
      </c>
      <c r="D2118" t="s">
        <v>601</v>
      </c>
      <c r="E2118" t="s">
        <v>136</v>
      </c>
      <c r="F2118" t="s">
        <v>135</v>
      </c>
      <c r="G2118" s="14">
        <v>85201.919999999998</v>
      </c>
      <c r="H2118">
        <v>1094.5</v>
      </c>
      <c r="I2118">
        <v>77.849999999999994</v>
      </c>
      <c r="J2118">
        <v>103094.32</v>
      </c>
    </row>
    <row r="2119" spans="1:10" hidden="1" x14ac:dyDescent="0.25">
      <c r="A2119" t="s">
        <v>787</v>
      </c>
      <c r="B2119" t="s">
        <v>88</v>
      </c>
      <c r="C2119" s="1">
        <v>45750</v>
      </c>
      <c r="D2119" t="s">
        <v>788</v>
      </c>
      <c r="E2119" t="s">
        <v>323</v>
      </c>
      <c r="F2119" t="s">
        <v>109</v>
      </c>
      <c r="G2119" s="14">
        <v>21500</v>
      </c>
      <c r="H2119">
        <v>1094.5</v>
      </c>
      <c r="I2119">
        <v>19.64</v>
      </c>
      <c r="J2119">
        <v>21500</v>
      </c>
    </row>
    <row r="2120" spans="1:10" hidden="1" x14ac:dyDescent="0.25">
      <c r="A2120" t="s">
        <v>420</v>
      </c>
      <c r="B2120" t="s">
        <v>88</v>
      </c>
      <c r="C2120" s="1">
        <v>45750</v>
      </c>
      <c r="D2120" t="s">
        <v>796</v>
      </c>
      <c r="E2120" t="s">
        <v>422</v>
      </c>
      <c r="F2120" t="s">
        <v>109</v>
      </c>
      <c r="G2120" s="14">
        <v>81774.8</v>
      </c>
      <c r="H2120">
        <v>1094.5</v>
      </c>
      <c r="I2120">
        <v>74.709999999999994</v>
      </c>
      <c r="J2120">
        <v>98947.51</v>
      </c>
    </row>
    <row r="2121" spans="1:10" hidden="1" x14ac:dyDescent="0.25">
      <c r="A2121" t="s">
        <v>106</v>
      </c>
      <c r="B2121" t="s">
        <v>88</v>
      </c>
      <c r="C2121" s="1">
        <v>45748</v>
      </c>
      <c r="D2121" t="s">
        <v>107</v>
      </c>
      <c r="E2121" t="s">
        <v>108</v>
      </c>
      <c r="F2121" t="s">
        <v>109</v>
      </c>
      <c r="G2121" s="2">
        <v>46788</v>
      </c>
      <c r="H2121">
        <v>1094.25</v>
      </c>
      <c r="I2121">
        <v>42.758053461274848</v>
      </c>
      <c r="J2121">
        <v>46788</v>
      </c>
    </row>
    <row r="2122" spans="1:10" hidden="1" x14ac:dyDescent="0.25">
      <c r="A2122" t="s">
        <v>112</v>
      </c>
      <c r="B2122" t="s">
        <v>88</v>
      </c>
      <c r="C2122" s="1">
        <v>45748</v>
      </c>
      <c r="D2122" t="s">
        <v>118</v>
      </c>
      <c r="E2122" t="s">
        <v>114</v>
      </c>
      <c r="F2122" t="s">
        <v>117</v>
      </c>
      <c r="G2122" s="2">
        <v>4506.6000000000004</v>
      </c>
      <c r="H2122">
        <v>1094.25</v>
      </c>
      <c r="I2122">
        <v>4.1184372858122007</v>
      </c>
      <c r="J2122">
        <v>5452.99</v>
      </c>
    </row>
    <row r="2123" spans="1:10" hidden="1" x14ac:dyDescent="0.25">
      <c r="A2123" t="s">
        <v>203</v>
      </c>
      <c r="B2123" t="s">
        <v>88</v>
      </c>
      <c r="C2123" s="1">
        <v>45748</v>
      </c>
      <c r="D2123" t="s">
        <v>204</v>
      </c>
      <c r="E2123" t="s">
        <v>205</v>
      </c>
      <c r="F2123" t="s">
        <v>206</v>
      </c>
      <c r="G2123" s="2">
        <v>298525.5</v>
      </c>
      <c r="H2123">
        <v>1094.25</v>
      </c>
      <c r="I2123">
        <v>272.81288553803978</v>
      </c>
      <c r="J2123">
        <v>361215.86</v>
      </c>
    </row>
    <row r="2124" spans="1:10" hidden="1" x14ac:dyDescent="0.25">
      <c r="A2124" t="s">
        <v>265</v>
      </c>
      <c r="B2124" t="s">
        <v>88</v>
      </c>
      <c r="C2124" s="1">
        <v>45748</v>
      </c>
      <c r="D2124" t="s">
        <v>268</v>
      </c>
      <c r="E2124" t="s">
        <v>267</v>
      </c>
      <c r="F2124" t="s">
        <v>109</v>
      </c>
      <c r="G2124" s="2">
        <v>70800</v>
      </c>
      <c r="H2124">
        <v>1094.25</v>
      </c>
      <c r="I2124">
        <v>64.701850582590822</v>
      </c>
      <c r="J2124">
        <v>85668</v>
      </c>
    </row>
    <row r="2125" spans="1:10" hidden="1" x14ac:dyDescent="0.25">
      <c r="A2125" t="s">
        <v>275</v>
      </c>
      <c r="B2125" t="s">
        <v>88</v>
      </c>
      <c r="C2125" s="1">
        <v>45748</v>
      </c>
      <c r="D2125" t="s">
        <v>277</v>
      </c>
      <c r="E2125" t="s">
        <v>90</v>
      </c>
      <c r="F2125" t="s">
        <v>91</v>
      </c>
      <c r="G2125" s="2">
        <v>902731.97</v>
      </c>
      <c r="H2125">
        <v>1094.25</v>
      </c>
      <c r="I2125">
        <v>824.97781128626912</v>
      </c>
      <c r="J2125">
        <v>1092305.69</v>
      </c>
    </row>
    <row r="2126" spans="1:10" hidden="1" x14ac:dyDescent="0.25">
      <c r="A2126" t="s">
        <v>275</v>
      </c>
      <c r="B2126" t="s">
        <v>88</v>
      </c>
      <c r="C2126" s="1">
        <v>45748</v>
      </c>
      <c r="D2126" t="s">
        <v>277</v>
      </c>
      <c r="E2126" t="s">
        <v>92</v>
      </c>
      <c r="F2126" t="s">
        <v>91</v>
      </c>
      <c r="G2126" s="2">
        <v>144865.82</v>
      </c>
      <c r="H2126">
        <v>1094.25</v>
      </c>
      <c r="I2126">
        <v>132.38822938085448</v>
      </c>
      <c r="J2126">
        <v>144865.82</v>
      </c>
    </row>
    <row r="2127" spans="1:10" hidden="1" x14ac:dyDescent="0.25">
      <c r="A2127" t="s">
        <v>281</v>
      </c>
      <c r="B2127" t="s">
        <v>88</v>
      </c>
      <c r="C2127" s="1">
        <v>45748</v>
      </c>
      <c r="D2127" t="s">
        <v>282</v>
      </c>
      <c r="E2127" t="s">
        <v>283</v>
      </c>
      <c r="F2127" t="s">
        <v>109</v>
      </c>
      <c r="G2127" s="2">
        <v>51818.22</v>
      </c>
      <c r="H2127">
        <v>1094.25</v>
      </c>
      <c r="I2127">
        <v>47.355010281014394</v>
      </c>
      <c r="J2127">
        <v>62700.05</v>
      </c>
    </row>
    <row r="2128" spans="1:10" hidden="1" x14ac:dyDescent="0.25">
      <c r="A2128" t="s">
        <v>353</v>
      </c>
      <c r="B2128" t="s">
        <v>88</v>
      </c>
      <c r="C2128" s="1">
        <v>45748</v>
      </c>
      <c r="D2128" t="s">
        <v>357</v>
      </c>
      <c r="E2128" t="s">
        <v>114</v>
      </c>
      <c r="F2128" t="s">
        <v>117</v>
      </c>
      <c r="G2128" s="2">
        <v>10631</v>
      </c>
      <c r="H2128">
        <v>1094.25</v>
      </c>
      <c r="I2128">
        <v>9.7153301347955221</v>
      </c>
      <c r="J2128">
        <v>12863.51</v>
      </c>
    </row>
    <row r="2129" spans="1:10" hidden="1" x14ac:dyDescent="0.25">
      <c r="A2129" t="s">
        <v>364</v>
      </c>
      <c r="B2129" t="s">
        <v>88</v>
      </c>
      <c r="C2129" s="1">
        <v>45748</v>
      </c>
      <c r="D2129" t="s">
        <v>366</v>
      </c>
      <c r="E2129" t="s">
        <v>102</v>
      </c>
      <c r="F2129" t="s">
        <v>109</v>
      </c>
      <c r="G2129" s="2">
        <v>9000</v>
      </c>
      <c r="H2129">
        <v>1094.25</v>
      </c>
      <c r="I2129">
        <v>8.2248115147361212</v>
      </c>
      <c r="J2129">
        <v>9000</v>
      </c>
    </row>
    <row r="2130" spans="1:10" hidden="1" x14ac:dyDescent="0.25">
      <c r="A2130" t="s">
        <v>426</v>
      </c>
      <c r="B2130" t="s">
        <v>88</v>
      </c>
      <c r="C2130" s="1">
        <v>45748</v>
      </c>
      <c r="D2130" t="s">
        <v>427</v>
      </c>
      <c r="E2130" t="s">
        <v>134</v>
      </c>
      <c r="F2130" t="s">
        <v>9</v>
      </c>
      <c r="G2130" s="2">
        <v>111861.68</v>
      </c>
      <c r="H2130">
        <v>1094.25</v>
      </c>
      <c r="I2130">
        <v>102.22680374685858</v>
      </c>
      <c r="J2130">
        <v>123607.16</v>
      </c>
    </row>
    <row r="2131" spans="1:10" hidden="1" x14ac:dyDescent="0.25">
      <c r="A2131" t="s">
        <v>478</v>
      </c>
      <c r="B2131" t="s">
        <v>88</v>
      </c>
      <c r="C2131" s="1">
        <v>45748</v>
      </c>
      <c r="D2131" t="s">
        <v>481</v>
      </c>
      <c r="E2131" t="s">
        <v>267</v>
      </c>
      <c r="F2131" t="s">
        <v>109</v>
      </c>
      <c r="G2131" s="2">
        <v>13183.47</v>
      </c>
      <c r="H2131">
        <v>1094.25</v>
      </c>
      <c r="I2131">
        <v>12.047950651130911</v>
      </c>
      <c r="J2131">
        <v>15952</v>
      </c>
    </row>
    <row r="2132" spans="1:10" hidden="1" x14ac:dyDescent="0.25">
      <c r="A2132" t="s">
        <v>552</v>
      </c>
      <c r="B2132" t="s">
        <v>88</v>
      </c>
      <c r="C2132" s="1">
        <v>45748</v>
      </c>
      <c r="D2132" t="s">
        <v>553</v>
      </c>
      <c r="E2132" t="s">
        <v>136</v>
      </c>
      <c r="F2132" t="s">
        <v>11</v>
      </c>
      <c r="G2132" s="2">
        <v>10555846.76</v>
      </c>
      <c r="H2132">
        <v>1094.25</v>
      </c>
      <c r="I2132">
        <v>9646.6499977153308</v>
      </c>
      <c r="J2132">
        <v>12772574.58</v>
      </c>
    </row>
    <row r="2133" spans="1:10" hidden="1" x14ac:dyDescent="0.25">
      <c r="A2133" t="s">
        <v>125</v>
      </c>
      <c r="B2133" t="s">
        <v>88</v>
      </c>
      <c r="C2133" s="1">
        <v>45747</v>
      </c>
      <c r="D2133" t="s">
        <v>131</v>
      </c>
      <c r="E2133" t="s">
        <v>114</v>
      </c>
      <c r="F2133" t="s">
        <v>117</v>
      </c>
      <c r="G2133" s="2">
        <v>18059.919999999998</v>
      </c>
      <c r="H2133">
        <v>1093.5</v>
      </c>
      <c r="I2133">
        <v>16.515701874714217</v>
      </c>
      <c r="J2133">
        <v>21852.5</v>
      </c>
    </row>
    <row r="2134" spans="1:10" hidden="1" x14ac:dyDescent="0.25">
      <c r="A2134" t="s">
        <v>125</v>
      </c>
      <c r="B2134" t="s">
        <v>88</v>
      </c>
      <c r="C2134" s="1">
        <v>45747</v>
      </c>
      <c r="D2134" t="s">
        <v>131</v>
      </c>
      <c r="E2134" t="s">
        <v>127</v>
      </c>
      <c r="F2134" t="s">
        <v>117</v>
      </c>
      <c r="G2134" s="2">
        <v>1805.99</v>
      </c>
      <c r="H2134">
        <v>1093.5</v>
      </c>
      <c r="I2134">
        <v>1.6515683584819387</v>
      </c>
      <c r="J2134">
        <v>1805.99</v>
      </c>
    </row>
    <row r="2135" spans="1:10" hidden="1" x14ac:dyDescent="0.25">
      <c r="A2135" t="s">
        <v>240</v>
      </c>
      <c r="B2135" t="s">
        <v>88</v>
      </c>
      <c r="C2135" s="1">
        <v>45747</v>
      </c>
      <c r="D2135" t="s">
        <v>245</v>
      </c>
      <c r="E2135" t="s">
        <v>114</v>
      </c>
      <c r="F2135" t="s">
        <v>117</v>
      </c>
      <c r="G2135" s="2">
        <v>2479.34</v>
      </c>
      <c r="H2135">
        <v>1093.5</v>
      </c>
      <c r="I2135">
        <v>2.2673433927754916</v>
      </c>
      <c r="J2135">
        <v>3000</v>
      </c>
    </row>
    <row r="2136" spans="1:10" hidden="1" x14ac:dyDescent="0.25">
      <c r="A2136" t="s">
        <v>300</v>
      </c>
      <c r="B2136" t="s">
        <v>88</v>
      </c>
      <c r="C2136" s="1">
        <v>45747</v>
      </c>
      <c r="D2136" t="s">
        <v>308</v>
      </c>
      <c r="E2136" t="s">
        <v>90</v>
      </c>
      <c r="F2136" t="s">
        <v>91</v>
      </c>
      <c r="G2136" s="2">
        <v>263756.76</v>
      </c>
      <c r="H2136">
        <v>1093.5</v>
      </c>
      <c r="I2136">
        <v>241.20417009602195</v>
      </c>
      <c r="J2136">
        <v>319145.69</v>
      </c>
    </row>
    <row r="2137" spans="1:10" hidden="1" x14ac:dyDescent="0.25">
      <c r="A2137" t="s">
        <v>300</v>
      </c>
      <c r="B2137" t="s">
        <v>88</v>
      </c>
      <c r="C2137" s="1">
        <v>45747</v>
      </c>
      <c r="D2137" t="s">
        <v>308</v>
      </c>
      <c r="E2137" t="s">
        <v>92</v>
      </c>
      <c r="F2137" t="s">
        <v>91</v>
      </c>
      <c r="G2137" s="2">
        <v>47929.94</v>
      </c>
      <c r="H2137">
        <v>1093.5</v>
      </c>
      <c r="I2137">
        <v>43.83167809785094</v>
      </c>
      <c r="J2137">
        <v>47929.94</v>
      </c>
    </row>
    <row r="2138" spans="1:10" hidden="1" x14ac:dyDescent="0.25">
      <c r="A2138" t="s">
        <v>349</v>
      </c>
      <c r="B2138" t="s">
        <v>88</v>
      </c>
      <c r="C2138" s="1">
        <v>45747</v>
      </c>
      <c r="D2138" t="s">
        <v>352</v>
      </c>
      <c r="E2138" t="s">
        <v>102</v>
      </c>
      <c r="F2138" t="s">
        <v>109</v>
      </c>
      <c r="G2138" s="2">
        <v>115560.9</v>
      </c>
      <c r="H2138">
        <v>1093.5</v>
      </c>
      <c r="I2138">
        <v>105.67983539094649</v>
      </c>
      <c r="J2138">
        <v>115560.9</v>
      </c>
    </row>
    <row r="2139" spans="1:10" hidden="1" x14ac:dyDescent="0.25">
      <c r="A2139" t="s">
        <v>393</v>
      </c>
      <c r="B2139" t="s">
        <v>88</v>
      </c>
      <c r="C2139" s="1">
        <v>45747</v>
      </c>
      <c r="D2139" t="s">
        <v>394</v>
      </c>
      <c r="E2139" t="s">
        <v>205</v>
      </c>
      <c r="F2139" t="s">
        <v>206</v>
      </c>
      <c r="G2139" s="2">
        <v>571992</v>
      </c>
      <c r="H2139">
        <v>1093.5</v>
      </c>
      <c r="I2139">
        <v>523.0836762688615</v>
      </c>
      <c r="J2139">
        <v>692110.32</v>
      </c>
    </row>
    <row r="2140" spans="1:10" hidden="1" x14ac:dyDescent="0.25">
      <c r="A2140" t="s">
        <v>393</v>
      </c>
      <c r="B2140" t="s">
        <v>88</v>
      </c>
      <c r="C2140" s="1">
        <v>45747</v>
      </c>
      <c r="D2140" t="s">
        <v>395</v>
      </c>
      <c r="E2140" t="s">
        <v>205</v>
      </c>
      <c r="F2140" t="s">
        <v>206</v>
      </c>
      <c r="G2140" s="2">
        <v>271992</v>
      </c>
      <c r="H2140">
        <v>1093.5</v>
      </c>
      <c r="I2140">
        <v>248.7352537722908</v>
      </c>
      <c r="J2140">
        <v>329110.32</v>
      </c>
    </row>
    <row r="2141" spans="1:10" hidden="1" x14ac:dyDescent="0.25">
      <c r="A2141" t="s">
        <v>393</v>
      </c>
      <c r="B2141" t="s">
        <v>199</v>
      </c>
      <c r="C2141" s="1">
        <v>45747</v>
      </c>
      <c r="D2141" t="s">
        <v>396</v>
      </c>
      <c r="E2141" t="s">
        <v>205</v>
      </c>
      <c r="F2141" t="s">
        <v>206</v>
      </c>
      <c r="G2141" s="2">
        <v>-571992</v>
      </c>
      <c r="H2141">
        <v>1093.5</v>
      </c>
      <c r="I2141">
        <v>-523.0836762688615</v>
      </c>
      <c r="J2141">
        <v>-692110.32</v>
      </c>
    </row>
    <row r="2142" spans="1:10" hidden="1" x14ac:dyDescent="0.25">
      <c r="A2142" t="s">
        <v>436</v>
      </c>
      <c r="B2142" t="s">
        <v>88</v>
      </c>
      <c r="C2142" s="1">
        <v>45747</v>
      </c>
      <c r="D2142" t="s">
        <v>437</v>
      </c>
      <c r="E2142" t="s">
        <v>205</v>
      </c>
      <c r="F2142" t="s">
        <v>206</v>
      </c>
      <c r="G2142" s="2">
        <v>20832.419999999998</v>
      </c>
      <c r="H2142">
        <v>1093.5</v>
      </c>
      <c r="I2142">
        <v>19.051138545953361</v>
      </c>
      <c r="J2142">
        <v>25207.23</v>
      </c>
    </row>
    <row r="2143" spans="1:10" hidden="1" x14ac:dyDescent="0.25">
      <c r="A2143" t="s">
        <v>464</v>
      </c>
      <c r="B2143" t="s">
        <v>88</v>
      </c>
      <c r="C2143" s="1">
        <v>45747</v>
      </c>
      <c r="D2143" t="s">
        <v>465</v>
      </c>
      <c r="E2143" t="s">
        <v>136</v>
      </c>
      <c r="F2143" t="s">
        <v>11</v>
      </c>
      <c r="G2143" s="2">
        <v>422701.94</v>
      </c>
      <c r="H2143">
        <v>1093.5</v>
      </c>
      <c r="I2143">
        <v>386.55870141746686</v>
      </c>
      <c r="J2143">
        <v>511469.35</v>
      </c>
    </row>
    <row r="2144" spans="1:10" hidden="1" x14ac:dyDescent="0.25">
      <c r="A2144" t="s">
        <v>466</v>
      </c>
      <c r="B2144" t="s">
        <v>470</v>
      </c>
      <c r="C2144" s="1">
        <v>45747</v>
      </c>
      <c r="D2144" t="s">
        <v>471</v>
      </c>
      <c r="E2144" t="s">
        <v>472</v>
      </c>
      <c r="F2144" t="s">
        <v>135</v>
      </c>
      <c r="G2144" s="2">
        <v>362169.18</v>
      </c>
      <c r="H2144">
        <v>1093.5</v>
      </c>
      <c r="I2144">
        <v>331.20181069958846</v>
      </c>
      <c r="J2144">
        <v>438224.71</v>
      </c>
    </row>
    <row r="2145" spans="1:10" hidden="1" x14ac:dyDescent="0.25">
      <c r="A2145" t="s">
        <v>552</v>
      </c>
      <c r="B2145" t="s">
        <v>88</v>
      </c>
      <c r="C2145" s="1">
        <v>45747</v>
      </c>
      <c r="D2145" t="s">
        <v>558</v>
      </c>
      <c r="E2145" t="s">
        <v>136</v>
      </c>
      <c r="F2145" t="s">
        <v>11</v>
      </c>
      <c r="G2145" s="2">
        <v>8908821.0399999991</v>
      </c>
      <c r="H2145">
        <v>1093.5</v>
      </c>
      <c r="I2145">
        <v>8147.0699954275251</v>
      </c>
      <c r="J2145">
        <v>10779673.460000001</v>
      </c>
    </row>
    <row r="2146" spans="1:10" hidden="1" x14ac:dyDescent="0.25">
      <c r="A2146" t="s">
        <v>552</v>
      </c>
      <c r="B2146" t="s">
        <v>199</v>
      </c>
      <c r="C2146" s="1">
        <v>45747</v>
      </c>
      <c r="D2146" t="s">
        <v>560</v>
      </c>
      <c r="E2146" t="s">
        <v>136</v>
      </c>
      <c r="F2146" t="s">
        <v>11</v>
      </c>
      <c r="G2146" s="2">
        <v>-8908821.0399999991</v>
      </c>
      <c r="H2146">
        <v>1093.5</v>
      </c>
      <c r="I2146">
        <v>-8147.0699954275251</v>
      </c>
      <c r="J2146">
        <v>-10779673.460000001</v>
      </c>
    </row>
    <row r="2147" spans="1:10" hidden="1" x14ac:dyDescent="0.25">
      <c r="A2147" t="s">
        <v>246</v>
      </c>
      <c r="B2147" t="s">
        <v>88</v>
      </c>
      <c r="C2147" s="1">
        <v>45745</v>
      </c>
      <c r="D2147" t="s">
        <v>258</v>
      </c>
      <c r="E2147" t="s">
        <v>114</v>
      </c>
      <c r="F2147" t="s">
        <v>117</v>
      </c>
      <c r="G2147" s="2">
        <v>3119.95</v>
      </c>
      <c r="H2147">
        <v>1093</v>
      </c>
      <c r="I2147">
        <v>2.8544830741079594</v>
      </c>
      <c r="J2147">
        <v>3775.14</v>
      </c>
    </row>
    <row r="2148" spans="1:10" hidden="1" x14ac:dyDescent="0.25">
      <c r="A2148" t="s">
        <v>246</v>
      </c>
      <c r="B2148" t="s">
        <v>88</v>
      </c>
      <c r="C2148" s="1">
        <v>45745</v>
      </c>
      <c r="D2148" t="s">
        <v>259</v>
      </c>
      <c r="E2148" t="s">
        <v>114</v>
      </c>
      <c r="F2148" t="s">
        <v>117</v>
      </c>
      <c r="G2148" s="2">
        <v>53039.15</v>
      </c>
      <c r="H2148">
        <v>1093</v>
      </c>
      <c r="I2148">
        <v>48.526212259835319</v>
      </c>
      <c r="J2148">
        <v>64177.37</v>
      </c>
    </row>
    <row r="2149" spans="1:10" hidden="1" x14ac:dyDescent="0.25">
      <c r="A2149" t="s">
        <v>246</v>
      </c>
      <c r="B2149" t="s">
        <v>199</v>
      </c>
      <c r="C2149" s="1">
        <v>45745</v>
      </c>
      <c r="D2149" t="s">
        <v>260</v>
      </c>
      <c r="E2149" t="s">
        <v>114</v>
      </c>
      <c r="F2149" t="s">
        <v>117</v>
      </c>
      <c r="G2149" s="2">
        <v>-156</v>
      </c>
      <c r="H2149">
        <v>1093</v>
      </c>
      <c r="I2149">
        <v>-0.14272644098810613</v>
      </c>
      <c r="J2149">
        <v>-188.76</v>
      </c>
    </row>
    <row r="2150" spans="1:10" hidden="1" x14ac:dyDescent="0.25">
      <c r="A2150" t="s">
        <v>343</v>
      </c>
      <c r="B2150" t="s">
        <v>88</v>
      </c>
      <c r="C2150" s="1">
        <v>45744</v>
      </c>
      <c r="D2150" t="s">
        <v>345</v>
      </c>
      <c r="E2150" t="s">
        <v>136</v>
      </c>
      <c r="F2150" t="s">
        <v>135</v>
      </c>
      <c r="G2150" s="2">
        <v>14838.84</v>
      </c>
      <c r="H2150">
        <v>1093</v>
      </c>
      <c r="I2150">
        <v>13.576248856358646</v>
      </c>
      <c r="J2150">
        <v>17955</v>
      </c>
    </row>
    <row r="2151" spans="1:10" hidden="1" x14ac:dyDescent="0.25">
      <c r="A2151" t="s">
        <v>533</v>
      </c>
      <c r="B2151" t="s">
        <v>88</v>
      </c>
      <c r="C2151" s="1">
        <v>45744</v>
      </c>
      <c r="D2151" t="s">
        <v>545</v>
      </c>
      <c r="E2151" t="s">
        <v>90</v>
      </c>
      <c r="F2151" t="s">
        <v>91</v>
      </c>
      <c r="G2151" s="2">
        <v>59713.96</v>
      </c>
      <c r="H2151">
        <v>1093</v>
      </c>
      <c r="I2151">
        <v>54.633083257090576</v>
      </c>
      <c r="J2151">
        <v>72253.89</v>
      </c>
    </row>
    <row r="2152" spans="1:10" hidden="1" x14ac:dyDescent="0.25">
      <c r="A2152" t="s">
        <v>533</v>
      </c>
      <c r="B2152" t="s">
        <v>88</v>
      </c>
      <c r="C2152" s="1">
        <v>45744</v>
      </c>
      <c r="D2152" t="s">
        <v>545</v>
      </c>
      <c r="E2152" t="s">
        <v>92</v>
      </c>
      <c r="F2152" t="s">
        <v>91</v>
      </c>
      <c r="G2152" s="2">
        <v>10748.19</v>
      </c>
      <c r="H2152">
        <v>1093</v>
      </c>
      <c r="I2152">
        <v>9.8336596523330293</v>
      </c>
      <c r="J2152">
        <v>10748.19</v>
      </c>
    </row>
    <row r="2153" spans="1:10" hidden="1" x14ac:dyDescent="0.25">
      <c r="A2153" t="s">
        <v>533</v>
      </c>
      <c r="B2153" t="s">
        <v>88</v>
      </c>
      <c r="C2153" s="1">
        <v>45744</v>
      </c>
      <c r="D2153" t="s">
        <v>546</v>
      </c>
      <c r="E2153" t="s">
        <v>90</v>
      </c>
      <c r="F2153" t="s">
        <v>91</v>
      </c>
      <c r="G2153" s="2">
        <v>9213.77</v>
      </c>
      <c r="H2153">
        <v>1093</v>
      </c>
      <c r="I2153">
        <v>8.429798719121683</v>
      </c>
      <c r="J2153">
        <v>11148.67</v>
      </c>
    </row>
    <row r="2154" spans="1:10" hidden="1" x14ac:dyDescent="0.25">
      <c r="A2154" t="s">
        <v>533</v>
      </c>
      <c r="B2154" t="s">
        <v>88</v>
      </c>
      <c r="C2154" s="1">
        <v>45744</v>
      </c>
      <c r="D2154" t="s">
        <v>546</v>
      </c>
      <c r="E2154" t="s">
        <v>92</v>
      </c>
      <c r="F2154" t="s">
        <v>91</v>
      </c>
      <c r="G2154" s="2">
        <v>51.33</v>
      </c>
      <c r="H2154">
        <v>1093</v>
      </c>
      <c r="I2154">
        <v>4.6962488563586459E-2</v>
      </c>
      <c r="J2154">
        <v>51.33</v>
      </c>
    </row>
    <row r="2155" spans="1:10" hidden="1" x14ac:dyDescent="0.25">
      <c r="A2155" t="s">
        <v>272</v>
      </c>
      <c r="B2155" t="s">
        <v>88</v>
      </c>
      <c r="C2155" s="1">
        <v>45743</v>
      </c>
      <c r="D2155" t="s">
        <v>273</v>
      </c>
      <c r="E2155" t="s">
        <v>274</v>
      </c>
      <c r="F2155" t="s">
        <v>109</v>
      </c>
      <c r="G2155" s="2">
        <v>44553.69</v>
      </c>
      <c r="H2155">
        <v>1091.75</v>
      </c>
      <c r="I2155">
        <v>40.809425234714908</v>
      </c>
      <c r="J2155">
        <v>53909.96</v>
      </c>
    </row>
    <row r="2156" spans="1:10" hidden="1" x14ac:dyDescent="0.25">
      <c r="A2156" t="s">
        <v>316</v>
      </c>
      <c r="B2156" t="s">
        <v>88</v>
      </c>
      <c r="C2156" s="1">
        <v>45743</v>
      </c>
      <c r="D2156" t="s">
        <v>318</v>
      </c>
      <c r="E2156" t="s">
        <v>136</v>
      </c>
      <c r="F2156" t="s">
        <v>20</v>
      </c>
      <c r="G2156" s="2">
        <v>3182814</v>
      </c>
      <c r="H2156">
        <v>1091.75</v>
      </c>
      <c r="I2156">
        <v>2915.3322647126174</v>
      </c>
      <c r="J2156">
        <v>3851204.94</v>
      </c>
    </row>
    <row r="2157" spans="1:10" hidden="1" x14ac:dyDescent="0.25">
      <c r="A2157" t="s">
        <v>426</v>
      </c>
      <c r="B2157" t="s">
        <v>88</v>
      </c>
      <c r="C2157" s="1">
        <v>45743</v>
      </c>
      <c r="D2157" t="s">
        <v>435</v>
      </c>
      <c r="E2157" t="s">
        <v>136</v>
      </c>
      <c r="F2157" t="s">
        <v>9</v>
      </c>
      <c r="G2157" s="2">
        <v>553664.47</v>
      </c>
      <c r="H2157">
        <v>1091.75</v>
      </c>
      <c r="I2157">
        <v>507.13484772154794</v>
      </c>
      <c r="J2157">
        <v>669934.01</v>
      </c>
    </row>
    <row r="2158" spans="1:10" hidden="1" x14ac:dyDescent="0.25">
      <c r="A2158" t="s">
        <v>515</v>
      </c>
      <c r="B2158" t="s">
        <v>88</v>
      </c>
      <c r="C2158" s="1">
        <v>45743</v>
      </c>
      <c r="D2158" t="s">
        <v>520</v>
      </c>
      <c r="E2158" t="s">
        <v>184</v>
      </c>
      <c r="F2158" t="s">
        <v>9</v>
      </c>
      <c r="G2158" s="2">
        <v>25821</v>
      </c>
      <c r="H2158">
        <v>1091.75</v>
      </c>
      <c r="I2158">
        <v>23.651019006182736</v>
      </c>
      <c r="J2158">
        <v>31243.41</v>
      </c>
    </row>
    <row r="2159" spans="1:10" hidden="1" x14ac:dyDescent="0.25">
      <c r="A2159" t="s">
        <v>533</v>
      </c>
      <c r="B2159" t="s">
        <v>88</v>
      </c>
      <c r="C2159" s="1">
        <v>45743</v>
      </c>
      <c r="D2159" t="s">
        <v>544</v>
      </c>
      <c r="E2159" t="s">
        <v>90</v>
      </c>
      <c r="F2159" t="s">
        <v>91</v>
      </c>
      <c r="G2159" s="2">
        <v>12354.27</v>
      </c>
      <c r="H2159">
        <v>1091.75</v>
      </c>
      <c r="I2159">
        <v>11.31602473093657</v>
      </c>
      <c r="J2159">
        <v>14948.67</v>
      </c>
    </row>
    <row r="2160" spans="1:10" hidden="1" x14ac:dyDescent="0.25">
      <c r="A2160" t="s">
        <v>533</v>
      </c>
      <c r="B2160" t="s">
        <v>88</v>
      </c>
      <c r="C2160" s="1">
        <v>45743</v>
      </c>
      <c r="D2160" t="s">
        <v>544</v>
      </c>
      <c r="E2160" t="s">
        <v>92</v>
      </c>
      <c r="F2160" t="s">
        <v>91</v>
      </c>
      <c r="G2160" s="2">
        <v>51.33</v>
      </c>
      <c r="H2160">
        <v>1091.75</v>
      </c>
      <c r="I2160">
        <v>4.7016258300893059E-2</v>
      </c>
      <c r="J2160">
        <v>51.33</v>
      </c>
    </row>
    <row r="2161" spans="1:10" hidden="1" x14ac:dyDescent="0.25">
      <c r="A2161" t="s">
        <v>95</v>
      </c>
      <c r="B2161" t="s">
        <v>96</v>
      </c>
      <c r="C2161" s="1">
        <v>45742</v>
      </c>
      <c r="D2161" t="s">
        <v>97</v>
      </c>
      <c r="E2161" t="s">
        <v>98</v>
      </c>
      <c r="F2161" t="s">
        <v>99</v>
      </c>
      <c r="G2161" s="2">
        <v>27133.9</v>
      </c>
      <c r="H2161">
        <v>1091.5</v>
      </c>
      <c r="I2161">
        <v>24.859276225377922</v>
      </c>
      <c r="J2161">
        <v>27133.9</v>
      </c>
    </row>
    <row r="2162" spans="1:10" hidden="1" x14ac:dyDescent="0.25">
      <c r="A2162" t="s">
        <v>367</v>
      </c>
      <c r="B2162" t="s">
        <v>88</v>
      </c>
      <c r="C2162" s="1">
        <v>45741</v>
      </c>
      <c r="D2162" t="s">
        <v>368</v>
      </c>
      <c r="E2162" t="s">
        <v>215</v>
      </c>
      <c r="F2162" t="s">
        <v>239</v>
      </c>
      <c r="G2162" s="2">
        <v>25512.400000000001</v>
      </c>
      <c r="H2162">
        <v>1091.25</v>
      </c>
      <c r="I2162">
        <v>23.379060710194732</v>
      </c>
      <c r="J2162">
        <v>30870</v>
      </c>
    </row>
    <row r="2163" spans="1:10" hidden="1" x14ac:dyDescent="0.25">
      <c r="A2163" t="s">
        <v>443</v>
      </c>
      <c r="B2163" t="s">
        <v>88</v>
      </c>
      <c r="C2163" s="1">
        <v>45740</v>
      </c>
      <c r="D2163" t="s">
        <v>450</v>
      </c>
      <c r="E2163" t="s">
        <v>90</v>
      </c>
      <c r="F2163" t="s">
        <v>91</v>
      </c>
      <c r="G2163" s="2">
        <v>69013.070000000007</v>
      </c>
      <c r="H2163">
        <v>1091</v>
      </c>
      <c r="I2163">
        <v>63.256709440879931</v>
      </c>
      <c r="J2163">
        <v>83505.81</v>
      </c>
    </row>
    <row r="2164" spans="1:10" hidden="1" x14ac:dyDescent="0.25">
      <c r="A2164" t="s">
        <v>443</v>
      </c>
      <c r="B2164" t="s">
        <v>88</v>
      </c>
      <c r="C2164" s="1">
        <v>45740</v>
      </c>
      <c r="D2164" t="s">
        <v>450</v>
      </c>
      <c r="E2164" t="s">
        <v>92</v>
      </c>
      <c r="F2164" t="s">
        <v>91</v>
      </c>
      <c r="G2164" s="2">
        <v>9498.23</v>
      </c>
      <c r="H2164">
        <v>1091</v>
      </c>
      <c r="I2164">
        <v>8.7059853345554536</v>
      </c>
      <c r="J2164">
        <v>9498.23</v>
      </c>
    </row>
    <row r="2165" spans="1:10" hidden="1" x14ac:dyDescent="0.25">
      <c r="A2165" t="s">
        <v>443</v>
      </c>
      <c r="B2165" t="s">
        <v>88</v>
      </c>
      <c r="C2165" s="1">
        <v>45739</v>
      </c>
      <c r="D2165" t="s">
        <v>449</v>
      </c>
      <c r="E2165" t="s">
        <v>90</v>
      </c>
      <c r="F2165" t="s">
        <v>91</v>
      </c>
      <c r="G2165" s="2">
        <v>23003</v>
      </c>
      <c r="H2165">
        <v>1091</v>
      </c>
      <c r="I2165">
        <v>21.084326306141154</v>
      </c>
      <c r="J2165">
        <v>27833.63</v>
      </c>
    </row>
    <row r="2166" spans="1:10" hidden="1" x14ac:dyDescent="0.25">
      <c r="A2166" t="s">
        <v>443</v>
      </c>
      <c r="B2166" t="s">
        <v>88</v>
      </c>
      <c r="C2166" s="1">
        <v>45739</v>
      </c>
      <c r="D2166" t="s">
        <v>449</v>
      </c>
      <c r="E2166" t="s">
        <v>92</v>
      </c>
      <c r="F2166" t="s">
        <v>91</v>
      </c>
      <c r="G2166" s="2">
        <v>4546.3500000000004</v>
      </c>
      <c r="H2166">
        <v>1091</v>
      </c>
      <c r="I2166">
        <v>4.1671402383134746</v>
      </c>
      <c r="J2166">
        <v>4546.3500000000004</v>
      </c>
    </row>
    <row r="2167" spans="1:10" hidden="1" x14ac:dyDescent="0.25">
      <c r="A2167" t="s">
        <v>426</v>
      </c>
      <c r="B2167" t="s">
        <v>88</v>
      </c>
      <c r="C2167" s="1">
        <v>45738</v>
      </c>
      <c r="D2167" t="s">
        <v>433</v>
      </c>
      <c r="E2167" t="s">
        <v>136</v>
      </c>
      <c r="F2167" t="s">
        <v>9</v>
      </c>
      <c r="G2167" s="2">
        <v>453777.68</v>
      </c>
      <c r="H2167">
        <v>1091</v>
      </c>
      <c r="I2167">
        <v>415.92821264894593</v>
      </c>
      <c r="J2167">
        <v>549070.99</v>
      </c>
    </row>
    <row r="2168" spans="1:10" hidden="1" x14ac:dyDescent="0.25">
      <c r="A2168" t="s">
        <v>488</v>
      </c>
      <c r="B2168" t="s">
        <v>88</v>
      </c>
      <c r="C2168" s="1">
        <v>45738</v>
      </c>
      <c r="D2168" t="s">
        <v>489</v>
      </c>
      <c r="E2168" t="s">
        <v>90</v>
      </c>
      <c r="F2168" t="s">
        <v>91</v>
      </c>
      <c r="G2168" s="2">
        <v>56263.74</v>
      </c>
      <c r="H2168">
        <v>1091</v>
      </c>
      <c r="I2168">
        <v>51.570797433547206</v>
      </c>
      <c r="J2168">
        <v>68079.12</v>
      </c>
    </row>
    <row r="2169" spans="1:10" hidden="1" x14ac:dyDescent="0.25">
      <c r="A2169" t="s">
        <v>488</v>
      </c>
      <c r="B2169" t="s">
        <v>88</v>
      </c>
      <c r="C2169" s="1">
        <v>45738</v>
      </c>
      <c r="D2169" t="s">
        <v>489</v>
      </c>
      <c r="E2169" t="s">
        <v>92</v>
      </c>
      <c r="F2169" t="s">
        <v>91</v>
      </c>
      <c r="G2169" s="2">
        <v>9728.81</v>
      </c>
      <c r="H2169">
        <v>1091</v>
      </c>
      <c r="I2169">
        <v>8.9173327222731427</v>
      </c>
      <c r="J2169">
        <v>9728.81</v>
      </c>
    </row>
    <row r="2170" spans="1:10" hidden="1" x14ac:dyDescent="0.25">
      <c r="A2170" t="s">
        <v>170</v>
      </c>
      <c r="B2170" t="s">
        <v>145</v>
      </c>
      <c r="C2170" s="1">
        <v>45737</v>
      </c>
      <c r="D2170" t="s">
        <v>171</v>
      </c>
      <c r="E2170" t="s">
        <v>172</v>
      </c>
      <c r="F2170" t="s">
        <v>85</v>
      </c>
      <c r="G2170" s="2">
        <v>336197.03</v>
      </c>
      <c r="H2170">
        <v>1091</v>
      </c>
      <c r="I2170">
        <v>308.15493125572874</v>
      </c>
      <c r="J2170">
        <v>406798.41</v>
      </c>
    </row>
    <row r="2171" spans="1:10" hidden="1" x14ac:dyDescent="0.25">
      <c r="A2171" t="s">
        <v>182</v>
      </c>
      <c r="B2171" t="s">
        <v>88</v>
      </c>
      <c r="C2171" s="1">
        <v>45737</v>
      </c>
      <c r="D2171" t="s">
        <v>194</v>
      </c>
      <c r="E2171" t="s">
        <v>184</v>
      </c>
      <c r="F2171" t="s">
        <v>9</v>
      </c>
      <c r="G2171" s="2">
        <v>9499</v>
      </c>
      <c r="H2171">
        <v>1091</v>
      </c>
      <c r="I2171">
        <v>8.706691109074244</v>
      </c>
      <c r="J2171">
        <v>11493.79</v>
      </c>
    </row>
    <row r="2172" spans="1:10" hidden="1" x14ac:dyDescent="0.25">
      <c r="A2172" t="s">
        <v>207</v>
      </c>
      <c r="B2172" t="s">
        <v>96</v>
      </c>
      <c r="C2172" s="1">
        <v>45737</v>
      </c>
      <c r="D2172" t="s">
        <v>211</v>
      </c>
      <c r="E2172" t="s">
        <v>212</v>
      </c>
      <c r="F2172" t="s">
        <v>85</v>
      </c>
      <c r="G2172" s="2">
        <v>4587869.1100000003</v>
      </c>
      <c r="H2172">
        <v>1091</v>
      </c>
      <c r="I2172">
        <v>4205.1962511457377</v>
      </c>
      <c r="J2172">
        <v>4587869.1100000003</v>
      </c>
    </row>
    <row r="2173" spans="1:10" hidden="1" x14ac:dyDescent="0.25">
      <c r="A2173" t="s">
        <v>226</v>
      </c>
      <c r="B2173" t="s">
        <v>88</v>
      </c>
      <c r="C2173" s="1">
        <v>45737</v>
      </c>
      <c r="D2173" t="s">
        <v>235</v>
      </c>
      <c r="E2173" t="s">
        <v>228</v>
      </c>
      <c r="F2173" t="s">
        <v>109</v>
      </c>
      <c r="G2173" s="2">
        <v>256457.34</v>
      </c>
      <c r="H2173">
        <v>1091</v>
      </c>
      <c r="I2173">
        <v>235.06630614115491</v>
      </c>
      <c r="J2173">
        <v>325700.82</v>
      </c>
    </row>
    <row r="2174" spans="1:10" hidden="1" x14ac:dyDescent="0.25">
      <c r="A2174" t="s">
        <v>226</v>
      </c>
      <c r="B2174" t="s">
        <v>88</v>
      </c>
      <c r="C2174" s="1">
        <v>45737</v>
      </c>
      <c r="D2174" t="s">
        <v>235</v>
      </c>
      <c r="E2174" t="s">
        <v>229</v>
      </c>
      <c r="F2174" t="s">
        <v>109</v>
      </c>
      <c r="G2174" s="2">
        <v>61215.07</v>
      </c>
      <c r="H2174">
        <v>1091</v>
      </c>
      <c r="I2174">
        <v>56.109138405132903</v>
      </c>
      <c r="J2174">
        <v>61215.07</v>
      </c>
    </row>
    <row r="2175" spans="1:10" hidden="1" x14ac:dyDescent="0.25">
      <c r="A2175" t="s">
        <v>226</v>
      </c>
      <c r="B2175" t="s">
        <v>88</v>
      </c>
      <c r="C2175" s="1">
        <v>45737</v>
      </c>
      <c r="D2175" t="s">
        <v>236</v>
      </c>
      <c r="E2175" t="s">
        <v>228</v>
      </c>
      <c r="F2175" t="s">
        <v>109</v>
      </c>
      <c r="G2175" s="2">
        <v>267709.2</v>
      </c>
      <c r="H2175">
        <v>1091</v>
      </c>
      <c r="I2175">
        <v>245.37965169569205</v>
      </c>
      <c r="J2175">
        <v>339990.68</v>
      </c>
    </row>
    <row r="2176" spans="1:10" hidden="1" x14ac:dyDescent="0.25">
      <c r="A2176" t="s">
        <v>226</v>
      </c>
      <c r="B2176" t="s">
        <v>88</v>
      </c>
      <c r="C2176" s="1">
        <v>45737</v>
      </c>
      <c r="D2176" t="s">
        <v>236</v>
      </c>
      <c r="E2176" t="s">
        <v>229</v>
      </c>
      <c r="F2176" t="s">
        <v>109</v>
      </c>
      <c r="G2176" s="2">
        <v>60237.17</v>
      </c>
      <c r="H2176">
        <v>1091</v>
      </c>
      <c r="I2176">
        <v>55.212804766269478</v>
      </c>
      <c r="J2176">
        <v>60237.17</v>
      </c>
    </row>
    <row r="2177" spans="1:10" hidden="1" x14ac:dyDescent="0.25">
      <c r="A2177" t="s">
        <v>246</v>
      </c>
      <c r="B2177" t="s">
        <v>88</v>
      </c>
      <c r="C2177" s="1">
        <v>45737</v>
      </c>
      <c r="D2177" t="s">
        <v>255</v>
      </c>
      <c r="E2177" t="s">
        <v>114</v>
      </c>
      <c r="F2177" t="s">
        <v>117</v>
      </c>
      <c r="G2177" s="2">
        <v>3327.93</v>
      </c>
      <c r="H2177">
        <v>1091</v>
      </c>
      <c r="I2177">
        <v>3.050348304307974</v>
      </c>
      <c r="J2177">
        <v>4026.8</v>
      </c>
    </row>
    <row r="2178" spans="1:10" hidden="1" x14ac:dyDescent="0.25">
      <c r="A2178" t="s">
        <v>281</v>
      </c>
      <c r="B2178" t="s">
        <v>199</v>
      </c>
      <c r="C2178" s="1">
        <v>45737</v>
      </c>
      <c r="D2178" t="s">
        <v>286</v>
      </c>
      <c r="E2178" t="s">
        <v>283</v>
      </c>
      <c r="F2178" t="s">
        <v>109</v>
      </c>
      <c r="G2178" s="2">
        <v>-70247.95</v>
      </c>
      <c r="H2178">
        <v>1091</v>
      </c>
      <c r="I2178">
        <v>-64.388588450962416</v>
      </c>
      <c r="J2178">
        <v>-85000.02</v>
      </c>
    </row>
    <row r="2179" spans="1:10" hidden="1" x14ac:dyDescent="0.25">
      <c r="A2179" t="s">
        <v>336</v>
      </c>
      <c r="B2179" t="s">
        <v>88</v>
      </c>
      <c r="C2179" s="1">
        <v>45737</v>
      </c>
      <c r="D2179" t="s">
        <v>340</v>
      </c>
      <c r="E2179" t="s">
        <v>205</v>
      </c>
      <c r="F2179" t="s">
        <v>103</v>
      </c>
      <c r="G2179" s="2">
        <v>122915</v>
      </c>
      <c r="H2179">
        <v>1091</v>
      </c>
      <c r="I2179">
        <v>112.66269477543538</v>
      </c>
      <c r="J2179">
        <v>148727.15</v>
      </c>
    </row>
    <row r="2180" spans="1:10" hidden="1" x14ac:dyDescent="0.25">
      <c r="A2180" t="s">
        <v>336</v>
      </c>
      <c r="B2180" t="s">
        <v>88</v>
      </c>
      <c r="C2180" s="1">
        <v>45737</v>
      </c>
      <c r="D2180" t="s">
        <v>340</v>
      </c>
      <c r="E2180" t="s">
        <v>205</v>
      </c>
      <c r="F2180" t="s">
        <v>105</v>
      </c>
      <c r="G2180" s="2">
        <v>66185</v>
      </c>
      <c r="H2180">
        <v>1091</v>
      </c>
      <c r="I2180">
        <v>60.664527956003667</v>
      </c>
      <c r="J2180">
        <v>80083.850000000006</v>
      </c>
    </row>
    <row r="2181" spans="1:10" hidden="1" x14ac:dyDescent="0.25">
      <c r="A2181" t="s">
        <v>493</v>
      </c>
      <c r="B2181" t="s">
        <v>88</v>
      </c>
      <c r="C2181" s="1">
        <v>45737</v>
      </c>
      <c r="D2181" t="s">
        <v>494</v>
      </c>
      <c r="E2181" t="s">
        <v>90</v>
      </c>
      <c r="F2181" t="s">
        <v>91</v>
      </c>
      <c r="G2181" s="2">
        <v>21186.92</v>
      </c>
      <c r="H2181">
        <v>1091</v>
      </c>
      <c r="I2181">
        <v>19.419725022914754</v>
      </c>
      <c r="J2181">
        <v>25636.17</v>
      </c>
    </row>
    <row r="2182" spans="1:10" hidden="1" x14ac:dyDescent="0.25">
      <c r="A2182" t="s">
        <v>493</v>
      </c>
      <c r="B2182" t="s">
        <v>88</v>
      </c>
      <c r="C2182" s="1">
        <v>45737</v>
      </c>
      <c r="D2182" t="s">
        <v>494</v>
      </c>
      <c r="E2182" t="s">
        <v>92</v>
      </c>
      <c r="F2182" t="s">
        <v>91</v>
      </c>
      <c r="G2182" s="2">
        <v>4363.8500000000004</v>
      </c>
      <c r="H2182">
        <v>1091</v>
      </c>
      <c r="I2182">
        <v>3.9998625114573789</v>
      </c>
      <c r="J2182">
        <v>4363.8500000000004</v>
      </c>
    </row>
    <row r="2183" spans="1:10" hidden="1" x14ac:dyDescent="0.25">
      <c r="A2183" t="s">
        <v>515</v>
      </c>
      <c r="B2183" t="s">
        <v>88</v>
      </c>
      <c r="C2183" s="1">
        <v>45737</v>
      </c>
      <c r="D2183" t="s">
        <v>519</v>
      </c>
      <c r="E2183" t="s">
        <v>184</v>
      </c>
      <c r="F2183" t="s">
        <v>9</v>
      </c>
      <c r="G2183" s="2">
        <v>35739</v>
      </c>
      <c r="H2183">
        <v>1091</v>
      </c>
      <c r="I2183">
        <v>32.758020164986249</v>
      </c>
      <c r="J2183">
        <v>43244.19</v>
      </c>
    </row>
    <row r="2184" spans="1:10" hidden="1" x14ac:dyDescent="0.25">
      <c r="A2184" t="s">
        <v>383</v>
      </c>
      <c r="B2184" t="s">
        <v>88</v>
      </c>
      <c r="C2184" s="1">
        <v>45736</v>
      </c>
      <c r="D2184" t="s">
        <v>388</v>
      </c>
      <c r="E2184" t="s">
        <v>136</v>
      </c>
      <c r="F2184" t="s">
        <v>10</v>
      </c>
      <c r="G2184" s="2">
        <v>988781</v>
      </c>
      <c r="H2184">
        <v>1089.5</v>
      </c>
      <c r="I2184">
        <v>907.5548416704911</v>
      </c>
      <c r="J2184">
        <v>1196425.01</v>
      </c>
    </row>
    <row r="2185" spans="1:10" hidden="1" x14ac:dyDescent="0.25">
      <c r="A2185" t="s">
        <v>443</v>
      </c>
      <c r="B2185" t="s">
        <v>88</v>
      </c>
      <c r="C2185" s="1">
        <v>45736</v>
      </c>
      <c r="D2185" t="s">
        <v>447</v>
      </c>
      <c r="E2185" t="s">
        <v>90</v>
      </c>
      <c r="F2185" t="s">
        <v>91</v>
      </c>
      <c r="G2185" s="2">
        <v>49840.79</v>
      </c>
      <c r="H2185">
        <v>1089.5</v>
      </c>
      <c r="I2185">
        <v>45.74648003671409</v>
      </c>
      <c r="J2185">
        <v>60307.35</v>
      </c>
    </row>
    <row r="2186" spans="1:10" hidden="1" x14ac:dyDescent="0.25">
      <c r="A2186" t="s">
        <v>443</v>
      </c>
      <c r="B2186" t="s">
        <v>88</v>
      </c>
      <c r="C2186" s="1">
        <v>45736</v>
      </c>
      <c r="D2186" t="s">
        <v>447</v>
      </c>
      <c r="E2186" t="s">
        <v>92</v>
      </c>
      <c r="F2186" t="s">
        <v>91</v>
      </c>
      <c r="G2186" s="2">
        <v>9696.65</v>
      </c>
      <c r="H2186">
        <v>1089.5</v>
      </c>
      <c r="I2186">
        <v>8.9000917852225783</v>
      </c>
      <c r="J2186">
        <v>9696.65</v>
      </c>
    </row>
    <row r="2187" spans="1:10" hidden="1" x14ac:dyDescent="0.25">
      <c r="A2187" t="s">
        <v>132</v>
      </c>
      <c r="B2187" t="s">
        <v>88</v>
      </c>
      <c r="C2187" s="1">
        <v>45735</v>
      </c>
      <c r="D2187" t="s">
        <v>140</v>
      </c>
      <c r="E2187" t="s">
        <v>136</v>
      </c>
      <c r="F2187" t="s">
        <v>10</v>
      </c>
      <c r="G2187" s="2">
        <v>28863.59</v>
      </c>
      <c r="H2187">
        <v>1089.25</v>
      </c>
      <c r="I2187">
        <v>26.498590773467981</v>
      </c>
      <c r="J2187">
        <v>34924.94</v>
      </c>
    </row>
    <row r="2188" spans="1:10" hidden="1" x14ac:dyDescent="0.25">
      <c r="A2188" t="s">
        <v>361</v>
      </c>
      <c r="B2188" t="s">
        <v>88</v>
      </c>
      <c r="C2188" s="1">
        <v>45735</v>
      </c>
      <c r="D2188" t="s">
        <v>363</v>
      </c>
      <c r="E2188" t="s">
        <v>136</v>
      </c>
      <c r="F2188" t="s">
        <v>10</v>
      </c>
      <c r="G2188" s="2">
        <v>33341.410000000003</v>
      </c>
      <c r="H2188">
        <v>1089.25</v>
      </c>
      <c r="I2188">
        <v>30.609511131512512</v>
      </c>
      <c r="J2188">
        <v>40343.11</v>
      </c>
    </row>
    <row r="2189" spans="1:10" hidden="1" x14ac:dyDescent="0.25">
      <c r="A2189" t="s">
        <v>405</v>
      </c>
      <c r="B2189" t="s">
        <v>88</v>
      </c>
      <c r="C2189" s="1">
        <v>45735</v>
      </c>
      <c r="D2189" t="s">
        <v>408</v>
      </c>
      <c r="E2189" t="s">
        <v>407</v>
      </c>
      <c r="F2189" t="s">
        <v>239</v>
      </c>
      <c r="G2189" s="2">
        <v>924.85</v>
      </c>
      <c r="H2189">
        <v>1089.25</v>
      </c>
      <c r="I2189">
        <v>0.84907046132660091</v>
      </c>
      <c r="J2189">
        <v>1021.96</v>
      </c>
    </row>
    <row r="2190" spans="1:10" hidden="1" x14ac:dyDescent="0.25">
      <c r="A2190" t="s">
        <v>405</v>
      </c>
      <c r="B2190" t="s">
        <v>88</v>
      </c>
      <c r="C2190" s="1">
        <v>45735</v>
      </c>
      <c r="D2190" t="s">
        <v>408</v>
      </c>
      <c r="E2190" t="s">
        <v>218</v>
      </c>
      <c r="F2190" t="s">
        <v>239</v>
      </c>
      <c r="G2190" s="2">
        <v>18983.849999999999</v>
      </c>
      <c r="H2190">
        <v>1089.25</v>
      </c>
      <c r="I2190">
        <v>17.42836814321781</v>
      </c>
      <c r="J2190">
        <v>22970.46</v>
      </c>
    </row>
    <row r="2191" spans="1:10" hidden="1" x14ac:dyDescent="0.25">
      <c r="A2191" t="s">
        <v>414</v>
      </c>
      <c r="B2191" t="s">
        <v>88</v>
      </c>
      <c r="C2191" s="1">
        <v>45735</v>
      </c>
      <c r="D2191" t="s">
        <v>415</v>
      </c>
      <c r="E2191" t="s">
        <v>136</v>
      </c>
      <c r="F2191" t="s">
        <v>10</v>
      </c>
      <c r="G2191" s="2">
        <v>493313.38</v>
      </c>
      <c r="H2191">
        <v>1089.25</v>
      </c>
      <c r="I2191">
        <v>452.89270599036035</v>
      </c>
      <c r="J2191">
        <v>596909.18999999994</v>
      </c>
    </row>
    <row r="2192" spans="1:10" hidden="1" x14ac:dyDescent="0.25">
      <c r="A2192" t="s">
        <v>426</v>
      </c>
      <c r="B2192" t="s">
        <v>88</v>
      </c>
      <c r="C2192" s="1">
        <v>45735</v>
      </c>
      <c r="D2192" t="s">
        <v>431</v>
      </c>
      <c r="E2192" t="s">
        <v>136</v>
      </c>
      <c r="F2192" t="s">
        <v>9</v>
      </c>
      <c r="G2192" s="2">
        <v>627001.31999999995</v>
      </c>
      <c r="H2192">
        <v>1089.25</v>
      </c>
      <c r="I2192">
        <v>575.62664218498958</v>
      </c>
      <c r="J2192">
        <v>758671.6</v>
      </c>
    </row>
    <row r="2193" spans="1:10" hidden="1" x14ac:dyDescent="0.25">
      <c r="A2193" t="s">
        <v>515</v>
      </c>
      <c r="B2193" t="s">
        <v>88</v>
      </c>
      <c r="C2193" s="1">
        <v>45735</v>
      </c>
      <c r="D2193" t="s">
        <v>517</v>
      </c>
      <c r="E2193" t="s">
        <v>184</v>
      </c>
      <c r="F2193" t="s">
        <v>9</v>
      </c>
      <c r="G2193" s="2">
        <v>42616</v>
      </c>
      <c r="H2193">
        <v>1089.25</v>
      </c>
      <c r="I2193">
        <v>39.12416800550838</v>
      </c>
      <c r="J2193">
        <v>51565.36</v>
      </c>
    </row>
    <row r="2194" spans="1:10" hidden="1" x14ac:dyDescent="0.25">
      <c r="A2194" t="s">
        <v>154</v>
      </c>
      <c r="B2194" t="s">
        <v>88</v>
      </c>
      <c r="C2194" s="1">
        <v>45734</v>
      </c>
      <c r="D2194" t="s">
        <v>155</v>
      </c>
      <c r="E2194" t="s">
        <v>90</v>
      </c>
      <c r="F2194" t="s">
        <v>91</v>
      </c>
      <c r="G2194" s="2">
        <v>32390.76</v>
      </c>
      <c r="H2194">
        <v>1088.5</v>
      </c>
      <c r="I2194">
        <v>29.757243913642625</v>
      </c>
      <c r="J2194">
        <v>39192.83</v>
      </c>
    </row>
    <row r="2195" spans="1:10" hidden="1" x14ac:dyDescent="0.25">
      <c r="A2195" t="s">
        <v>154</v>
      </c>
      <c r="B2195" t="s">
        <v>88</v>
      </c>
      <c r="C2195" s="1">
        <v>45734</v>
      </c>
      <c r="D2195" t="s">
        <v>155</v>
      </c>
      <c r="E2195" t="s">
        <v>92</v>
      </c>
      <c r="F2195" t="s">
        <v>91</v>
      </c>
      <c r="G2195" s="2">
        <v>5807.09</v>
      </c>
      <c r="H2195">
        <v>1088.5</v>
      </c>
      <c r="I2195">
        <v>5.3349471750114841</v>
      </c>
      <c r="J2195">
        <v>5807.09</v>
      </c>
    </row>
    <row r="2196" spans="1:10" hidden="1" x14ac:dyDescent="0.25">
      <c r="A2196" t="s">
        <v>182</v>
      </c>
      <c r="B2196" t="s">
        <v>88</v>
      </c>
      <c r="C2196" s="1">
        <v>45734</v>
      </c>
      <c r="D2196" t="s">
        <v>190</v>
      </c>
      <c r="E2196" t="s">
        <v>184</v>
      </c>
      <c r="F2196" t="s">
        <v>103</v>
      </c>
      <c r="G2196" s="2">
        <v>350000</v>
      </c>
      <c r="H2196">
        <v>1088.5</v>
      </c>
      <c r="I2196">
        <v>321.54340836012864</v>
      </c>
      <c r="J2196">
        <v>423500</v>
      </c>
    </row>
    <row r="2197" spans="1:10" hidden="1" x14ac:dyDescent="0.25">
      <c r="A2197" t="s">
        <v>182</v>
      </c>
      <c r="B2197" t="s">
        <v>88</v>
      </c>
      <c r="C2197" s="1">
        <v>45734</v>
      </c>
      <c r="D2197" t="s">
        <v>191</v>
      </c>
      <c r="E2197" t="s">
        <v>184</v>
      </c>
      <c r="F2197" t="s">
        <v>11</v>
      </c>
      <c r="G2197" s="2">
        <v>131991</v>
      </c>
      <c r="H2197">
        <v>1088.5</v>
      </c>
      <c r="I2197">
        <v>121.25953146531924</v>
      </c>
      <c r="J2197">
        <v>159709.10999999999</v>
      </c>
    </row>
    <row r="2198" spans="1:10" hidden="1" x14ac:dyDescent="0.25">
      <c r="A2198" t="s">
        <v>182</v>
      </c>
      <c r="B2198" t="s">
        <v>199</v>
      </c>
      <c r="C2198" s="1">
        <v>45734</v>
      </c>
      <c r="D2198" t="s">
        <v>200</v>
      </c>
      <c r="E2198" t="s">
        <v>184</v>
      </c>
      <c r="F2198" t="s">
        <v>188</v>
      </c>
      <c r="G2198" s="2">
        <v>-247000</v>
      </c>
      <c r="H2198">
        <v>1088.5</v>
      </c>
      <c r="I2198">
        <v>-226.91777675700504</v>
      </c>
      <c r="J2198">
        <v>-298870</v>
      </c>
    </row>
    <row r="2199" spans="1:10" hidden="1" x14ac:dyDescent="0.25">
      <c r="A2199" t="s">
        <v>182</v>
      </c>
      <c r="B2199" t="s">
        <v>199</v>
      </c>
      <c r="C2199" s="1">
        <v>45734</v>
      </c>
      <c r="D2199" t="s">
        <v>201</v>
      </c>
      <c r="E2199" t="s">
        <v>184</v>
      </c>
      <c r="F2199" t="s">
        <v>103</v>
      </c>
      <c r="G2199" s="2">
        <v>-430000</v>
      </c>
      <c r="H2199">
        <v>1088.5</v>
      </c>
      <c r="I2199">
        <v>-395.03904455672944</v>
      </c>
      <c r="J2199">
        <v>-520300</v>
      </c>
    </row>
    <row r="2200" spans="1:10" hidden="1" x14ac:dyDescent="0.25">
      <c r="A2200" t="s">
        <v>182</v>
      </c>
      <c r="B2200" t="s">
        <v>199</v>
      </c>
      <c r="C2200" s="1">
        <v>45734</v>
      </c>
      <c r="D2200" t="s">
        <v>202</v>
      </c>
      <c r="E2200" t="s">
        <v>184</v>
      </c>
      <c r="F2200" t="s">
        <v>11</v>
      </c>
      <c r="G2200" s="2">
        <v>-272990.99</v>
      </c>
      <c r="H2200">
        <v>1088.5</v>
      </c>
      <c r="I2200">
        <v>-250.79558107487367</v>
      </c>
      <c r="J2200">
        <v>-330319.09999999998</v>
      </c>
    </row>
    <row r="2201" spans="1:10" hidden="1" x14ac:dyDescent="0.25">
      <c r="A2201" t="s">
        <v>224</v>
      </c>
      <c r="B2201" t="s">
        <v>88</v>
      </c>
      <c r="C2201" s="1">
        <v>45733</v>
      </c>
      <c r="D2201" t="s">
        <v>225</v>
      </c>
      <c r="E2201" t="s">
        <v>136</v>
      </c>
      <c r="F2201" t="s">
        <v>11</v>
      </c>
      <c r="G2201" s="2">
        <v>755835.53</v>
      </c>
      <c r="H2201">
        <v>1088.25</v>
      </c>
      <c r="I2201">
        <v>694.54218240294051</v>
      </c>
      <c r="J2201">
        <v>914560.99</v>
      </c>
    </row>
    <row r="2202" spans="1:10" hidden="1" x14ac:dyDescent="0.25">
      <c r="A2202" t="s">
        <v>287</v>
      </c>
      <c r="B2202" t="s">
        <v>88</v>
      </c>
      <c r="C2202" s="1">
        <v>45733</v>
      </c>
      <c r="D2202" t="s">
        <v>288</v>
      </c>
      <c r="E2202" t="s">
        <v>184</v>
      </c>
      <c r="F2202" t="s">
        <v>9</v>
      </c>
      <c r="G2202" s="2">
        <v>193516.04</v>
      </c>
      <c r="H2202">
        <v>1088.25</v>
      </c>
      <c r="I2202">
        <v>177.82314725476684</v>
      </c>
      <c r="J2202">
        <v>234151.09</v>
      </c>
    </row>
    <row r="2203" spans="1:10" hidden="1" x14ac:dyDescent="0.25">
      <c r="A2203" t="s">
        <v>512</v>
      </c>
      <c r="B2203" t="s">
        <v>88</v>
      </c>
      <c r="C2203" s="1">
        <v>45733</v>
      </c>
      <c r="D2203" t="s">
        <v>514</v>
      </c>
      <c r="E2203" t="s">
        <v>136</v>
      </c>
      <c r="F2203" t="s">
        <v>9</v>
      </c>
      <c r="G2203" s="2">
        <v>357190.40000000002</v>
      </c>
      <c r="H2203">
        <v>1088.25</v>
      </c>
      <c r="I2203">
        <v>328.22458074890881</v>
      </c>
      <c r="J2203">
        <v>432200.38</v>
      </c>
    </row>
    <row r="2204" spans="1:10" hidden="1" x14ac:dyDescent="0.25">
      <c r="A2204" t="s">
        <v>112</v>
      </c>
      <c r="B2204" t="s">
        <v>88</v>
      </c>
      <c r="C2204" s="1">
        <v>45732</v>
      </c>
      <c r="D2204" t="s">
        <v>122</v>
      </c>
      <c r="E2204" t="s">
        <v>114</v>
      </c>
      <c r="F2204" t="s">
        <v>117</v>
      </c>
      <c r="G2204" s="2">
        <v>1733.28</v>
      </c>
      <c r="H2204">
        <v>1088</v>
      </c>
      <c r="I2204">
        <v>1.5930882352941176</v>
      </c>
      <c r="J2204">
        <v>2097.27</v>
      </c>
    </row>
    <row r="2205" spans="1:10" hidden="1" x14ac:dyDescent="0.25">
      <c r="A2205" t="s">
        <v>353</v>
      </c>
      <c r="B2205" t="s">
        <v>88</v>
      </c>
      <c r="C2205" s="1">
        <v>45732</v>
      </c>
      <c r="D2205" t="s">
        <v>360</v>
      </c>
      <c r="E2205" t="s">
        <v>114</v>
      </c>
      <c r="F2205" t="s">
        <v>109</v>
      </c>
      <c r="G2205" s="2">
        <v>7857.68</v>
      </c>
      <c r="H2205">
        <v>1088</v>
      </c>
      <c r="I2205">
        <v>7.2221323529411769</v>
      </c>
      <c r="J2205">
        <v>9507.7999999999993</v>
      </c>
    </row>
    <row r="2206" spans="1:10" hidden="1" x14ac:dyDescent="0.25">
      <c r="A2206" t="s">
        <v>240</v>
      </c>
      <c r="B2206" t="s">
        <v>88</v>
      </c>
      <c r="C2206" s="1">
        <v>45731</v>
      </c>
      <c r="D2206" t="s">
        <v>243</v>
      </c>
      <c r="E2206" t="s">
        <v>114</v>
      </c>
      <c r="F2206" t="s">
        <v>117</v>
      </c>
      <c r="G2206" s="2">
        <v>3719.01</v>
      </c>
      <c r="H2206">
        <v>1088</v>
      </c>
      <c r="I2206">
        <v>3.4182077205882355</v>
      </c>
      <c r="J2206">
        <v>4500</v>
      </c>
    </row>
    <row r="2207" spans="1:10" hidden="1" x14ac:dyDescent="0.25">
      <c r="A2207" t="s">
        <v>182</v>
      </c>
      <c r="B2207" t="s">
        <v>88</v>
      </c>
      <c r="C2207" s="1">
        <v>45730</v>
      </c>
      <c r="D2207" t="s">
        <v>186</v>
      </c>
      <c r="E2207" t="s">
        <v>184</v>
      </c>
      <c r="F2207" t="s">
        <v>11</v>
      </c>
      <c r="G2207" s="2">
        <v>272991</v>
      </c>
      <c r="H2207">
        <v>1088</v>
      </c>
      <c r="I2207">
        <v>250.9108455882353</v>
      </c>
      <c r="J2207">
        <v>330319.11</v>
      </c>
    </row>
    <row r="2208" spans="1:10" hidden="1" x14ac:dyDescent="0.25">
      <c r="A2208" t="s">
        <v>246</v>
      </c>
      <c r="B2208" t="s">
        <v>88</v>
      </c>
      <c r="C2208" s="1">
        <v>45730</v>
      </c>
      <c r="D2208" t="s">
        <v>251</v>
      </c>
      <c r="E2208" t="s">
        <v>114</v>
      </c>
      <c r="F2208" t="s">
        <v>117</v>
      </c>
      <c r="G2208" s="2">
        <v>14559.8</v>
      </c>
      <c r="H2208">
        <v>1088</v>
      </c>
      <c r="I2208">
        <v>13.382169117647058</v>
      </c>
      <c r="J2208">
        <v>17617.36</v>
      </c>
    </row>
    <row r="2209" spans="1:10" hidden="1" x14ac:dyDescent="0.25">
      <c r="A2209" t="s">
        <v>246</v>
      </c>
      <c r="B2209" t="s">
        <v>88</v>
      </c>
      <c r="C2209" s="1">
        <v>45730</v>
      </c>
      <c r="D2209" t="s">
        <v>251</v>
      </c>
      <c r="E2209" t="s">
        <v>127</v>
      </c>
      <c r="F2209" t="s">
        <v>117</v>
      </c>
      <c r="G2209" s="2">
        <v>72.760000000000005</v>
      </c>
      <c r="H2209">
        <v>1088</v>
      </c>
      <c r="I2209">
        <v>6.6875000000000004E-2</v>
      </c>
      <c r="J2209">
        <v>72.760000000000005</v>
      </c>
    </row>
    <row r="2210" spans="1:10" hidden="1" x14ac:dyDescent="0.25">
      <c r="A2210" t="s">
        <v>300</v>
      </c>
      <c r="B2210" t="s">
        <v>88</v>
      </c>
      <c r="C2210" s="1">
        <v>45730</v>
      </c>
      <c r="D2210" t="s">
        <v>304</v>
      </c>
      <c r="E2210" t="s">
        <v>90</v>
      </c>
      <c r="F2210" t="s">
        <v>91</v>
      </c>
      <c r="G2210" s="2">
        <v>7500</v>
      </c>
      <c r="H2210">
        <v>1088</v>
      </c>
      <c r="I2210">
        <v>6.8933823529411766</v>
      </c>
      <c r="J2210">
        <v>9075.01</v>
      </c>
    </row>
    <row r="2211" spans="1:10" hidden="1" x14ac:dyDescent="0.25">
      <c r="A2211" t="s">
        <v>426</v>
      </c>
      <c r="B2211" t="s">
        <v>88</v>
      </c>
      <c r="C2211" s="1">
        <v>45730</v>
      </c>
      <c r="D2211" t="s">
        <v>429</v>
      </c>
      <c r="E2211" t="s">
        <v>136</v>
      </c>
      <c r="F2211" t="s">
        <v>9</v>
      </c>
      <c r="G2211" s="2">
        <v>4688543.09</v>
      </c>
      <c r="H2211">
        <v>1088</v>
      </c>
      <c r="I2211">
        <v>4309.3226930147057</v>
      </c>
      <c r="J2211">
        <v>5673137.1399999997</v>
      </c>
    </row>
    <row r="2212" spans="1:10" hidden="1" x14ac:dyDescent="0.25">
      <c r="A2212" t="s">
        <v>486</v>
      </c>
      <c r="B2212" t="s">
        <v>88</v>
      </c>
      <c r="C2212" s="1">
        <v>45730</v>
      </c>
      <c r="D2212" t="s">
        <v>487</v>
      </c>
      <c r="E2212" t="s">
        <v>90</v>
      </c>
      <c r="F2212" t="s">
        <v>91</v>
      </c>
      <c r="G2212" s="2">
        <v>48049.68</v>
      </c>
      <c r="H2212">
        <v>1088</v>
      </c>
      <c r="I2212">
        <v>44.163308823529412</v>
      </c>
      <c r="J2212">
        <v>58140.11</v>
      </c>
    </row>
    <row r="2213" spans="1:10" hidden="1" x14ac:dyDescent="0.25">
      <c r="A2213" t="s">
        <v>486</v>
      </c>
      <c r="B2213" t="s">
        <v>88</v>
      </c>
      <c r="C2213" s="1">
        <v>45730</v>
      </c>
      <c r="D2213" t="s">
        <v>487</v>
      </c>
      <c r="E2213" t="s">
        <v>92</v>
      </c>
      <c r="F2213" t="s">
        <v>91</v>
      </c>
      <c r="G2213" s="2">
        <v>10869.89</v>
      </c>
      <c r="H2213">
        <v>1088</v>
      </c>
      <c r="I2213">
        <v>9.9907077205882349</v>
      </c>
      <c r="J2213">
        <v>10869.89</v>
      </c>
    </row>
    <row r="2214" spans="1:10" hidden="1" x14ac:dyDescent="0.25">
      <c r="A2214" t="s">
        <v>504</v>
      </c>
      <c r="B2214" t="s">
        <v>88</v>
      </c>
      <c r="C2214" s="1">
        <v>45730</v>
      </c>
      <c r="D2214" t="s">
        <v>509</v>
      </c>
      <c r="E2214" t="s">
        <v>506</v>
      </c>
      <c r="F2214" t="s">
        <v>109</v>
      </c>
      <c r="G2214" s="2">
        <v>214301.48</v>
      </c>
      <c r="H2214">
        <v>1088</v>
      </c>
      <c r="I2214">
        <v>196.96827205882354</v>
      </c>
      <c r="J2214">
        <v>272162.88</v>
      </c>
    </row>
    <row r="2215" spans="1:10" hidden="1" x14ac:dyDescent="0.25">
      <c r="A2215" t="s">
        <v>504</v>
      </c>
      <c r="B2215" t="s">
        <v>88</v>
      </c>
      <c r="C2215" s="1">
        <v>45730</v>
      </c>
      <c r="D2215" t="s">
        <v>509</v>
      </c>
      <c r="E2215" t="s">
        <v>507</v>
      </c>
      <c r="F2215" t="s">
        <v>109</v>
      </c>
      <c r="G2215" s="2">
        <v>11276.9</v>
      </c>
      <c r="H2215">
        <v>1088</v>
      </c>
      <c r="I2215">
        <v>10.364797794117647</v>
      </c>
      <c r="J2215">
        <v>11276.9</v>
      </c>
    </row>
    <row r="2216" spans="1:10" hidden="1" x14ac:dyDescent="0.25">
      <c r="A2216" t="s">
        <v>510</v>
      </c>
      <c r="B2216" t="s">
        <v>263</v>
      </c>
      <c r="C2216" s="1">
        <v>45730</v>
      </c>
      <c r="D2216" t="s">
        <v>511</v>
      </c>
      <c r="E2216" t="s">
        <v>127</v>
      </c>
      <c r="F2216" t="s">
        <v>115</v>
      </c>
      <c r="G2216" s="2">
        <v>3045.88</v>
      </c>
      <c r="H2216">
        <v>1088</v>
      </c>
      <c r="I2216">
        <v>2.7995220588235297</v>
      </c>
      <c r="J2216">
        <v>3045.88</v>
      </c>
    </row>
    <row r="2217" spans="1:10" hidden="1" x14ac:dyDescent="0.25">
      <c r="A2217" t="s">
        <v>313</v>
      </c>
      <c r="B2217" t="s">
        <v>88</v>
      </c>
      <c r="C2217" s="1">
        <v>45729</v>
      </c>
      <c r="D2217" t="s">
        <v>314</v>
      </c>
      <c r="E2217" t="s">
        <v>90</v>
      </c>
      <c r="F2217" t="s">
        <v>91</v>
      </c>
      <c r="G2217" s="2">
        <v>59902.73</v>
      </c>
      <c r="H2217">
        <v>1086.5</v>
      </c>
      <c r="I2217">
        <v>55.133667740450996</v>
      </c>
      <c r="J2217">
        <v>72482.31</v>
      </c>
    </row>
    <row r="2218" spans="1:10" hidden="1" x14ac:dyDescent="0.25">
      <c r="A2218" t="s">
        <v>313</v>
      </c>
      <c r="B2218" t="s">
        <v>88</v>
      </c>
      <c r="C2218" s="1">
        <v>45729</v>
      </c>
      <c r="D2218" t="s">
        <v>314</v>
      </c>
      <c r="E2218" t="s">
        <v>92</v>
      </c>
      <c r="F2218" t="s">
        <v>91</v>
      </c>
      <c r="G2218" s="2">
        <v>7640.63</v>
      </c>
      <c r="H2218">
        <v>1086.5</v>
      </c>
      <c r="I2218">
        <v>7.0323331799355726</v>
      </c>
      <c r="J2218">
        <v>7640.63</v>
      </c>
    </row>
    <row r="2219" spans="1:10" hidden="1" x14ac:dyDescent="0.25">
      <c r="A2219" t="s">
        <v>361</v>
      </c>
      <c r="B2219" t="s">
        <v>88</v>
      </c>
      <c r="C2219" s="1">
        <v>45729</v>
      </c>
      <c r="D2219" t="s">
        <v>362</v>
      </c>
      <c r="E2219" t="s">
        <v>136</v>
      </c>
      <c r="F2219" t="s">
        <v>10</v>
      </c>
      <c r="G2219" s="2">
        <v>78496.490000000005</v>
      </c>
      <c r="H2219">
        <v>1086.5</v>
      </c>
      <c r="I2219">
        <v>72.247114588127019</v>
      </c>
      <c r="J2219">
        <v>94980.75</v>
      </c>
    </row>
    <row r="2220" spans="1:10" hidden="1" x14ac:dyDescent="0.25">
      <c r="A2220" t="s">
        <v>483</v>
      </c>
      <c r="B2220" t="s">
        <v>88</v>
      </c>
      <c r="C2220" s="1">
        <v>45729</v>
      </c>
      <c r="D2220" t="s">
        <v>485</v>
      </c>
      <c r="E2220" t="s">
        <v>136</v>
      </c>
      <c r="F2220" t="s">
        <v>135</v>
      </c>
      <c r="G2220" s="2">
        <v>54155</v>
      </c>
      <c r="H2220">
        <v>1086.5</v>
      </c>
      <c r="I2220">
        <v>49.843534284399446</v>
      </c>
      <c r="J2220">
        <v>65527.55</v>
      </c>
    </row>
    <row r="2221" spans="1:10" hidden="1" x14ac:dyDescent="0.25">
      <c r="A2221" t="s">
        <v>533</v>
      </c>
      <c r="B2221" t="s">
        <v>88</v>
      </c>
      <c r="C2221" s="1">
        <v>45729</v>
      </c>
      <c r="D2221" t="s">
        <v>540</v>
      </c>
      <c r="E2221" t="s">
        <v>90</v>
      </c>
      <c r="F2221" t="s">
        <v>91</v>
      </c>
      <c r="G2221" s="2">
        <v>8222.0400000000009</v>
      </c>
      <c r="H2221">
        <v>1086.5</v>
      </c>
      <c r="I2221">
        <v>7.5674551311550857</v>
      </c>
      <c r="J2221">
        <v>9948.67</v>
      </c>
    </row>
    <row r="2222" spans="1:10" hidden="1" x14ac:dyDescent="0.25">
      <c r="A2222" t="s">
        <v>533</v>
      </c>
      <c r="B2222" t="s">
        <v>88</v>
      </c>
      <c r="C2222" s="1">
        <v>45729</v>
      </c>
      <c r="D2222" t="s">
        <v>540</v>
      </c>
      <c r="E2222" t="s">
        <v>92</v>
      </c>
      <c r="F2222" t="s">
        <v>91</v>
      </c>
      <c r="G2222" s="2">
        <v>51.33</v>
      </c>
      <c r="H2222">
        <v>1086.5</v>
      </c>
      <c r="I2222">
        <v>4.7243442245743214E-2</v>
      </c>
      <c r="J2222">
        <v>51.33</v>
      </c>
    </row>
    <row r="2223" spans="1:10" hidden="1" x14ac:dyDescent="0.25">
      <c r="A2223" t="s">
        <v>182</v>
      </c>
      <c r="B2223" t="s">
        <v>88</v>
      </c>
      <c r="C2223" s="1">
        <v>45728</v>
      </c>
      <c r="D2223" t="s">
        <v>185</v>
      </c>
      <c r="E2223" t="s">
        <v>184</v>
      </c>
      <c r="F2223" t="s">
        <v>103</v>
      </c>
      <c r="G2223" s="2">
        <v>80500</v>
      </c>
      <c r="H2223">
        <v>1086.25</v>
      </c>
      <c r="I2223">
        <v>74.108170310701951</v>
      </c>
      <c r="J2223">
        <v>97405</v>
      </c>
    </row>
    <row r="2224" spans="1:10" hidden="1" x14ac:dyDescent="0.25">
      <c r="A2224" t="s">
        <v>525</v>
      </c>
      <c r="B2224" t="s">
        <v>88</v>
      </c>
      <c r="C2224" s="1">
        <v>45728</v>
      </c>
      <c r="D2224" t="s">
        <v>526</v>
      </c>
      <c r="E2224" t="s">
        <v>108</v>
      </c>
      <c r="F2224" t="s">
        <v>109</v>
      </c>
      <c r="G2224" s="2">
        <v>75000</v>
      </c>
      <c r="H2224">
        <v>1086.25</v>
      </c>
      <c r="I2224">
        <v>69.044879171461446</v>
      </c>
      <c r="J2224">
        <v>75000</v>
      </c>
    </row>
    <row r="2225" spans="1:10" hidden="1" x14ac:dyDescent="0.25">
      <c r="A2225" t="s">
        <v>132</v>
      </c>
      <c r="B2225" t="s">
        <v>88</v>
      </c>
      <c r="C2225" s="1">
        <v>45727</v>
      </c>
      <c r="D2225" t="s">
        <v>133</v>
      </c>
      <c r="E2225" t="s">
        <v>134</v>
      </c>
      <c r="F2225" t="s">
        <v>135</v>
      </c>
      <c r="G2225" s="2">
        <v>32946.089999999997</v>
      </c>
      <c r="H2225">
        <v>1086.25</v>
      </c>
      <c r="I2225">
        <v>30.330117376294588</v>
      </c>
      <c r="J2225">
        <v>36405.43</v>
      </c>
    </row>
    <row r="2226" spans="1:10" hidden="1" x14ac:dyDescent="0.25">
      <c r="A2226" t="s">
        <v>132</v>
      </c>
      <c r="B2226" t="s">
        <v>88</v>
      </c>
      <c r="C2226" s="1">
        <v>45727</v>
      </c>
      <c r="D2226" t="s">
        <v>133</v>
      </c>
      <c r="E2226" t="s">
        <v>136</v>
      </c>
      <c r="F2226" t="s">
        <v>135</v>
      </c>
      <c r="G2226" s="2">
        <v>29872.799999999999</v>
      </c>
      <c r="H2226">
        <v>1086.25</v>
      </c>
      <c r="I2226">
        <v>27.500851553509779</v>
      </c>
      <c r="J2226">
        <v>36146.089999999997</v>
      </c>
    </row>
    <row r="2227" spans="1:10" hidden="1" x14ac:dyDescent="0.25">
      <c r="A2227" t="s">
        <v>289</v>
      </c>
      <c r="B2227" t="s">
        <v>88</v>
      </c>
      <c r="C2227" s="1">
        <v>45727</v>
      </c>
      <c r="D2227" t="s">
        <v>290</v>
      </c>
      <c r="E2227" t="s">
        <v>138</v>
      </c>
      <c r="F2227" t="s">
        <v>139</v>
      </c>
      <c r="G2227" s="2">
        <v>68382.600000000006</v>
      </c>
      <c r="H2227">
        <v>1086.25</v>
      </c>
      <c r="I2227">
        <v>62.952911392405071</v>
      </c>
      <c r="J2227">
        <v>82742.95</v>
      </c>
    </row>
    <row r="2228" spans="1:10" hidden="1" x14ac:dyDescent="0.25">
      <c r="A2228" t="s">
        <v>346</v>
      </c>
      <c r="B2228" t="s">
        <v>88</v>
      </c>
      <c r="C2228" s="1">
        <v>45727</v>
      </c>
      <c r="D2228" t="s">
        <v>347</v>
      </c>
      <c r="E2228" t="s">
        <v>90</v>
      </c>
      <c r="F2228" t="s">
        <v>91</v>
      </c>
      <c r="G2228" s="2">
        <v>73288.7</v>
      </c>
      <c r="H2228">
        <v>1086.25</v>
      </c>
      <c r="I2228">
        <v>67.469459148446489</v>
      </c>
      <c r="J2228">
        <v>88679.33</v>
      </c>
    </row>
    <row r="2229" spans="1:10" hidden="1" x14ac:dyDescent="0.25">
      <c r="A2229" t="s">
        <v>346</v>
      </c>
      <c r="B2229" t="s">
        <v>88</v>
      </c>
      <c r="C2229" s="1">
        <v>45727</v>
      </c>
      <c r="D2229" t="s">
        <v>347</v>
      </c>
      <c r="E2229" t="s">
        <v>92</v>
      </c>
      <c r="F2229" t="s">
        <v>91</v>
      </c>
      <c r="G2229" s="2">
        <v>11322.85</v>
      </c>
      <c r="H2229">
        <v>1086.25</v>
      </c>
      <c r="I2229">
        <v>10.423797468354431</v>
      </c>
      <c r="J2229">
        <v>11322.85</v>
      </c>
    </row>
    <row r="2230" spans="1:10" hidden="1" x14ac:dyDescent="0.25">
      <c r="A2230" t="s">
        <v>372</v>
      </c>
      <c r="B2230" t="s">
        <v>88</v>
      </c>
      <c r="C2230" s="1">
        <v>45727</v>
      </c>
      <c r="D2230" t="s">
        <v>373</v>
      </c>
      <c r="E2230" t="s">
        <v>136</v>
      </c>
      <c r="F2230" t="s">
        <v>11</v>
      </c>
      <c r="G2230" s="2">
        <v>5024676.28</v>
      </c>
      <c r="H2230">
        <v>1086.25</v>
      </c>
      <c r="I2230">
        <v>4625.7088883774459</v>
      </c>
      <c r="J2230">
        <v>6079858.2999999998</v>
      </c>
    </row>
    <row r="2231" spans="1:10" hidden="1" x14ac:dyDescent="0.25">
      <c r="A2231" t="s">
        <v>416</v>
      </c>
      <c r="B2231" t="s">
        <v>88</v>
      </c>
      <c r="C2231" s="1">
        <v>45727</v>
      </c>
      <c r="D2231" t="s">
        <v>418</v>
      </c>
      <c r="E2231" t="s">
        <v>102</v>
      </c>
      <c r="F2231" t="s">
        <v>109</v>
      </c>
      <c r="G2231" s="2">
        <v>636</v>
      </c>
      <c r="H2231">
        <v>1086.25</v>
      </c>
      <c r="I2231">
        <v>0.58550057537399314</v>
      </c>
      <c r="J2231">
        <v>636</v>
      </c>
    </row>
    <row r="2232" spans="1:10" hidden="1" x14ac:dyDescent="0.25">
      <c r="A2232" t="s">
        <v>416</v>
      </c>
      <c r="B2232" t="s">
        <v>88</v>
      </c>
      <c r="C2232" s="1">
        <v>45727</v>
      </c>
      <c r="D2232" t="s">
        <v>418</v>
      </c>
      <c r="E2232" t="s">
        <v>419</v>
      </c>
      <c r="F2232" t="s">
        <v>109</v>
      </c>
      <c r="G2232" s="2">
        <v>11871.08</v>
      </c>
      <c r="H2232">
        <v>1086.25</v>
      </c>
      <c r="I2232">
        <v>10.928497123130034</v>
      </c>
      <c r="J2232">
        <v>14364.01</v>
      </c>
    </row>
    <row r="2233" spans="1:10" hidden="1" x14ac:dyDescent="0.25">
      <c r="A2233" t="s">
        <v>549</v>
      </c>
      <c r="B2233" t="s">
        <v>88</v>
      </c>
      <c r="C2233" s="1">
        <v>45727</v>
      </c>
      <c r="D2233" t="s">
        <v>550</v>
      </c>
      <c r="E2233" t="s">
        <v>205</v>
      </c>
      <c r="F2233" t="s">
        <v>551</v>
      </c>
      <c r="G2233" s="2">
        <v>148351.24</v>
      </c>
      <c r="H2233">
        <v>1086.25</v>
      </c>
      <c r="I2233">
        <v>136.57191254315305</v>
      </c>
      <c r="J2233">
        <v>179505</v>
      </c>
    </row>
    <row r="2234" spans="1:10" hidden="1" x14ac:dyDescent="0.25">
      <c r="A2234" t="s">
        <v>549</v>
      </c>
      <c r="B2234" t="s">
        <v>88</v>
      </c>
      <c r="C2234" s="1">
        <v>45727</v>
      </c>
      <c r="D2234" t="s">
        <v>550</v>
      </c>
      <c r="E2234" t="s">
        <v>102</v>
      </c>
      <c r="F2234" t="s">
        <v>551</v>
      </c>
      <c r="G2234" s="2">
        <v>2495</v>
      </c>
      <c r="H2234">
        <v>1086.25</v>
      </c>
      <c r="I2234">
        <v>2.2968929804372844</v>
      </c>
      <c r="J2234">
        <v>2495</v>
      </c>
    </row>
    <row r="2235" spans="1:10" hidden="1" x14ac:dyDescent="0.25">
      <c r="A2235" t="s">
        <v>416</v>
      </c>
      <c r="B2235" t="s">
        <v>88</v>
      </c>
      <c r="C2235" s="1">
        <v>45726</v>
      </c>
      <c r="D2235" t="s">
        <v>417</v>
      </c>
      <c r="E2235" t="s">
        <v>205</v>
      </c>
      <c r="F2235" t="s">
        <v>109</v>
      </c>
      <c r="G2235" s="2">
        <v>9241.32</v>
      </c>
      <c r="H2235">
        <v>1086.25</v>
      </c>
      <c r="I2235">
        <v>8.5075443037974683</v>
      </c>
      <c r="J2235">
        <v>11182</v>
      </c>
    </row>
    <row r="2236" spans="1:10" hidden="1" x14ac:dyDescent="0.25">
      <c r="A2236" t="s">
        <v>416</v>
      </c>
      <c r="B2236" t="s">
        <v>88</v>
      </c>
      <c r="C2236" s="1">
        <v>45726</v>
      </c>
      <c r="D2236" t="s">
        <v>417</v>
      </c>
      <c r="E2236" t="s">
        <v>102</v>
      </c>
      <c r="F2236" t="s">
        <v>109</v>
      </c>
      <c r="G2236" s="2">
        <v>318</v>
      </c>
      <c r="H2236">
        <v>1086.25</v>
      </c>
      <c r="I2236">
        <v>0.29275028768699657</v>
      </c>
      <c r="J2236">
        <v>318</v>
      </c>
    </row>
    <row r="2237" spans="1:10" hidden="1" x14ac:dyDescent="0.25">
      <c r="A2237" t="s">
        <v>483</v>
      </c>
      <c r="B2237" t="s">
        <v>88</v>
      </c>
      <c r="C2237" s="1">
        <v>45726</v>
      </c>
      <c r="D2237" t="s">
        <v>484</v>
      </c>
      <c r="E2237" t="s">
        <v>136</v>
      </c>
      <c r="F2237" t="s">
        <v>135</v>
      </c>
      <c r="G2237" s="2">
        <v>55906</v>
      </c>
      <c r="H2237">
        <v>1086.25</v>
      </c>
      <c r="I2237">
        <v>51.466973532796317</v>
      </c>
      <c r="J2237">
        <v>67646.259999999995</v>
      </c>
    </row>
    <row r="2238" spans="1:10" hidden="1" x14ac:dyDescent="0.25">
      <c r="A2238" t="s">
        <v>175</v>
      </c>
      <c r="B2238" t="s">
        <v>88</v>
      </c>
      <c r="C2238" s="1">
        <v>45723</v>
      </c>
      <c r="D2238" t="s">
        <v>181</v>
      </c>
      <c r="E2238" t="s">
        <v>177</v>
      </c>
      <c r="F2238" t="s">
        <v>109</v>
      </c>
      <c r="G2238" s="2">
        <v>13662.48</v>
      </c>
      <c r="H2238">
        <v>1086</v>
      </c>
      <c r="I2238">
        <v>12.580552486187845</v>
      </c>
      <c r="J2238">
        <v>17351.349999999999</v>
      </c>
    </row>
    <row r="2239" spans="1:10" hidden="1" x14ac:dyDescent="0.25">
      <c r="A2239" t="s">
        <v>175</v>
      </c>
      <c r="B2239" t="s">
        <v>88</v>
      </c>
      <c r="C2239" s="1">
        <v>45723</v>
      </c>
      <c r="D2239" t="s">
        <v>181</v>
      </c>
      <c r="E2239" t="s">
        <v>180</v>
      </c>
      <c r="F2239" t="s">
        <v>109</v>
      </c>
      <c r="G2239" s="2">
        <v>7.07</v>
      </c>
      <c r="H2239">
        <v>1086</v>
      </c>
      <c r="I2239">
        <v>6.5101289134438306E-3</v>
      </c>
      <c r="J2239">
        <v>7.07</v>
      </c>
    </row>
    <row r="2240" spans="1:10" hidden="1" x14ac:dyDescent="0.25">
      <c r="A2240" t="s">
        <v>281</v>
      </c>
      <c r="B2240" t="s">
        <v>88</v>
      </c>
      <c r="C2240" s="1">
        <v>45723</v>
      </c>
      <c r="D2240" t="s">
        <v>285</v>
      </c>
      <c r="E2240" t="s">
        <v>283</v>
      </c>
      <c r="F2240" t="s">
        <v>109</v>
      </c>
      <c r="G2240" s="2">
        <v>95305.83</v>
      </c>
      <c r="H2240">
        <v>1086</v>
      </c>
      <c r="I2240">
        <v>87.758591160221002</v>
      </c>
      <c r="J2240">
        <v>115320.05</v>
      </c>
    </row>
    <row r="2241" spans="1:10" hidden="1" x14ac:dyDescent="0.25">
      <c r="A2241" t="s">
        <v>501</v>
      </c>
      <c r="B2241" t="s">
        <v>88</v>
      </c>
      <c r="C2241" s="1">
        <v>45723</v>
      </c>
      <c r="D2241" t="s">
        <v>503</v>
      </c>
      <c r="E2241" t="s">
        <v>205</v>
      </c>
      <c r="F2241" t="s">
        <v>109</v>
      </c>
      <c r="G2241" s="2">
        <v>188931.36</v>
      </c>
      <c r="H2241">
        <v>1086</v>
      </c>
      <c r="I2241">
        <v>173.96994475138121</v>
      </c>
      <c r="J2241">
        <v>228606.95</v>
      </c>
    </row>
    <row r="2242" spans="1:10" hidden="1" x14ac:dyDescent="0.25">
      <c r="A2242" t="s">
        <v>561</v>
      </c>
      <c r="B2242" t="s">
        <v>88</v>
      </c>
      <c r="C2242" s="1">
        <v>45723</v>
      </c>
      <c r="D2242" t="s">
        <v>562</v>
      </c>
      <c r="E2242" t="s">
        <v>90</v>
      </c>
      <c r="F2242" t="s">
        <v>91</v>
      </c>
      <c r="G2242" s="2">
        <v>64154.68</v>
      </c>
      <c r="H2242">
        <v>1086</v>
      </c>
      <c r="I2242">
        <v>59.074290976058933</v>
      </c>
      <c r="J2242">
        <v>77627.17</v>
      </c>
    </row>
    <row r="2243" spans="1:10" hidden="1" x14ac:dyDescent="0.25">
      <c r="A2243" t="s">
        <v>561</v>
      </c>
      <c r="B2243" t="s">
        <v>88</v>
      </c>
      <c r="C2243" s="1">
        <v>45723</v>
      </c>
      <c r="D2243" t="s">
        <v>562</v>
      </c>
      <c r="E2243" t="s">
        <v>92</v>
      </c>
      <c r="F2243" t="s">
        <v>91</v>
      </c>
      <c r="G2243" s="2">
        <v>9787.99</v>
      </c>
      <c r="H2243">
        <v>1086</v>
      </c>
      <c r="I2243">
        <v>9.0128821362799254</v>
      </c>
      <c r="J2243">
        <v>9787.99</v>
      </c>
    </row>
    <row r="2244" spans="1:10" hidden="1" x14ac:dyDescent="0.25">
      <c r="A2244" t="s">
        <v>182</v>
      </c>
      <c r="B2244" t="s">
        <v>88</v>
      </c>
      <c r="C2244" s="1">
        <v>45722</v>
      </c>
      <c r="D2244" t="s">
        <v>183</v>
      </c>
      <c r="E2244" t="s">
        <v>184</v>
      </c>
      <c r="F2244" t="s">
        <v>103</v>
      </c>
      <c r="G2244" s="2">
        <v>430000</v>
      </c>
      <c r="H2244">
        <v>1084.5</v>
      </c>
      <c r="I2244">
        <v>396.49608114338406</v>
      </c>
      <c r="J2244">
        <v>520300</v>
      </c>
    </row>
    <row r="2245" spans="1:10" hidden="1" x14ac:dyDescent="0.25">
      <c r="A2245" t="s">
        <v>246</v>
      </c>
      <c r="B2245" t="s">
        <v>88</v>
      </c>
      <c r="C2245" s="1">
        <v>45722</v>
      </c>
      <c r="D2245" t="s">
        <v>248</v>
      </c>
      <c r="E2245" t="s">
        <v>114</v>
      </c>
      <c r="F2245" t="s">
        <v>117</v>
      </c>
      <c r="G2245" s="2">
        <v>5199.92</v>
      </c>
      <c r="H2245">
        <v>1084.5</v>
      </c>
      <c r="I2245">
        <v>4.7947625633932685</v>
      </c>
      <c r="J2245">
        <v>6291.9</v>
      </c>
    </row>
    <row r="2246" spans="1:10" hidden="1" x14ac:dyDescent="0.25">
      <c r="A2246" t="s">
        <v>275</v>
      </c>
      <c r="B2246" t="s">
        <v>279</v>
      </c>
      <c r="C2246" s="1">
        <v>45722</v>
      </c>
      <c r="D2246" t="s">
        <v>280</v>
      </c>
      <c r="E2246" t="s">
        <v>90</v>
      </c>
      <c r="F2246" t="s">
        <v>91</v>
      </c>
      <c r="G2246" s="2">
        <v>-830560</v>
      </c>
      <c r="H2246">
        <v>1084.5</v>
      </c>
      <c r="I2246">
        <v>-765.84601198709083</v>
      </c>
      <c r="J2246">
        <v>-1004977.6</v>
      </c>
    </row>
    <row r="2247" spans="1:10" hidden="1" x14ac:dyDescent="0.25">
      <c r="A2247" t="s">
        <v>275</v>
      </c>
      <c r="B2247" t="s">
        <v>279</v>
      </c>
      <c r="C2247" s="1">
        <v>45722</v>
      </c>
      <c r="D2247" t="s">
        <v>280</v>
      </c>
      <c r="E2247" t="s">
        <v>92</v>
      </c>
      <c r="F2247" t="s">
        <v>91</v>
      </c>
      <c r="G2247" s="2">
        <v>-136959.65</v>
      </c>
      <c r="H2247">
        <v>1084.5</v>
      </c>
      <c r="I2247">
        <v>-126.28828953434763</v>
      </c>
      <c r="J2247">
        <v>-136959.65</v>
      </c>
    </row>
    <row r="2248" spans="1:10" hidden="1" x14ac:dyDescent="0.25">
      <c r="A2248" t="s">
        <v>369</v>
      </c>
      <c r="B2248" t="s">
        <v>88</v>
      </c>
      <c r="C2248" s="1">
        <v>45722</v>
      </c>
      <c r="D2248" t="s">
        <v>370</v>
      </c>
      <c r="E2248" t="s">
        <v>136</v>
      </c>
      <c r="F2248" t="s">
        <v>9</v>
      </c>
      <c r="G2248" s="2">
        <v>434845.5</v>
      </c>
      <c r="H2248">
        <v>1084.5</v>
      </c>
      <c r="I2248">
        <v>400.96403872752421</v>
      </c>
      <c r="J2248">
        <v>526163.06000000006</v>
      </c>
    </row>
    <row r="2249" spans="1:10" hidden="1" x14ac:dyDescent="0.25">
      <c r="A2249" t="s">
        <v>369</v>
      </c>
      <c r="B2249" t="s">
        <v>88</v>
      </c>
      <c r="C2249" s="1">
        <v>45722</v>
      </c>
      <c r="D2249" t="s">
        <v>371</v>
      </c>
      <c r="E2249" t="s">
        <v>136</v>
      </c>
      <c r="F2249" t="s">
        <v>9</v>
      </c>
      <c r="G2249" s="2">
        <v>72474.25</v>
      </c>
      <c r="H2249">
        <v>1084.5</v>
      </c>
      <c r="I2249">
        <v>66.827339787920707</v>
      </c>
      <c r="J2249">
        <v>87693.84</v>
      </c>
    </row>
    <row r="2250" spans="1:10" hidden="1" x14ac:dyDescent="0.25">
      <c r="A2250" t="s">
        <v>383</v>
      </c>
      <c r="B2250" t="s">
        <v>88</v>
      </c>
      <c r="C2250" s="1">
        <v>45722</v>
      </c>
      <c r="D2250" t="s">
        <v>387</v>
      </c>
      <c r="E2250" t="s">
        <v>136</v>
      </c>
      <c r="F2250" t="s">
        <v>18</v>
      </c>
      <c r="G2250" s="2">
        <v>59534.78</v>
      </c>
      <c r="H2250">
        <v>1084.5</v>
      </c>
      <c r="I2250">
        <v>54.896062701705851</v>
      </c>
      <c r="J2250">
        <v>72037.08</v>
      </c>
    </row>
    <row r="2251" spans="1:10" hidden="1" x14ac:dyDescent="0.25">
      <c r="A2251" t="s">
        <v>383</v>
      </c>
      <c r="B2251" t="s">
        <v>88</v>
      </c>
      <c r="C2251" s="1">
        <v>45722</v>
      </c>
      <c r="D2251" t="s">
        <v>387</v>
      </c>
      <c r="E2251" t="s">
        <v>136</v>
      </c>
      <c r="F2251" t="s">
        <v>135</v>
      </c>
      <c r="G2251" s="2">
        <v>36382.36</v>
      </c>
      <c r="H2251">
        <v>1084.5</v>
      </c>
      <c r="I2251">
        <v>33.547588750576303</v>
      </c>
      <c r="J2251">
        <v>44022.66</v>
      </c>
    </row>
    <row r="2252" spans="1:10" hidden="1" x14ac:dyDescent="0.25">
      <c r="A2252" t="s">
        <v>106</v>
      </c>
      <c r="B2252" t="s">
        <v>88</v>
      </c>
      <c r="C2252" s="1">
        <v>45721</v>
      </c>
      <c r="D2252" t="s">
        <v>111</v>
      </c>
      <c r="E2252" t="s">
        <v>102</v>
      </c>
      <c r="F2252" t="s">
        <v>109</v>
      </c>
      <c r="G2252" s="2">
        <v>46788</v>
      </c>
      <c r="H2252">
        <v>1084.5</v>
      </c>
      <c r="I2252">
        <v>43.142461964038731</v>
      </c>
      <c r="J2252">
        <v>46788</v>
      </c>
    </row>
    <row r="2253" spans="1:10" hidden="1" x14ac:dyDescent="0.25">
      <c r="A2253" t="s">
        <v>298</v>
      </c>
      <c r="B2253" t="s">
        <v>88</v>
      </c>
      <c r="C2253" s="1">
        <v>45721</v>
      </c>
      <c r="D2253" t="s">
        <v>299</v>
      </c>
      <c r="E2253" t="s">
        <v>205</v>
      </c>
      <c r="F2253" t="s">
        <v>109</v>
      </c>
      <c r="G2253" s="2">
        <v>140000</v>
      </c>
      <c r="H2253">
        <v>1084.5</v>
      </c>
      <c r="I2253">
        <v>129.09174734900876</v>
      </c>
      <c r="J2253">
        <v>169400</v>
      </c>
    </row>
    <row r="2254" spans="1:10" hidden="1" x14ac:dyDescent="0.25">
      <c r="A2254" t="s">
        <v>300</v>
      </c>
      <c r="B2254" t="s">
        <v>88</v>
      </c>
      <c r="C2254" s="1">
        <v>45721</v>
      </c>
      <c r="D2254" t="s">
        <v>301</v>
      </c>
      <c r="E2254" t="s">
        <v>90</v>
      </c>
      <c r="F2254" t="s">
        <v>91</v>
      </c>
      <c r="G2254" s="2">
        <v>7500</v>
      </c>
      <c r="H2254">
        <v>1084.5</v>
      </c>
      <c r="I2254">
        <v>6.9156293222683267</v>
      </c>
      <c r="J2254">
        <v>9075</v>
      </c>
    </row>
    <row r="2255" spans="1:10" hidden="1" x14ac:dyDescent="0.25">
      <c r="A2255" t="s">
        <v>87</v>
      </c>
      <c r="B2255" t="s">
        <v>88</v>
      </c>
      <c r="C2255" s="1">
        <v>45720</v>
      </c>
      <c r="D2255" t="s">
        <v>89</v>
      </c>
      <c r="E2255" t="s">
        <v>90</v>
      </c>
      <c r="F2255" t="s">
        <v>91</v>
      </c>
      <c r="G2255" s="2">
        <v>37305.97</v>
      </c>
      <c r="H2255">
        <v>1084.25</v>
      </c>
      <c r="I2255">
        <v>34.40716624394743</v>
      </c>
      <c r="J2255">
        <v>45140.23</v>
      </c>
    </row>
    <row r="2256" spans="1:10" hidden="1" x14ac:dyDescent="0.25">
      <c r="A2256" t="s">
        <v>87</v>
      </c>
      <c r="B2256" t="s">
        <v>88</v>
      </c>
      <c r="C2256" s="1">
        <v>45720</v>
      </c>
      <c r="D2256" t="s">
        <v>89</v>
      </c>
      <c r="E2256" t="s">
        <v>92</v>
      </c>
      <c r="F2256" t="s">
        <v>91</v>
      </c>
      <c r="G2256" s="2">
        <v>4859.78</v>
      </c>
      <c r="H2256">
        <v>1084.25</v>
      </c>
      <c r="I2256">
        <v>4.4821581738528931</v>
      </c>
      <c r="J2256">
        <v>4859.78</v>
      </c>
    </row>
    <row r="2257" spans="1:10" hidden="1" x14ac:dyDescent="0.25">
      <c r="A2257" t="s">
        <v>221</v>
      </c>
      <c r="B2257" t="s">
        <v>88</v>
      </c>
      <c r="C2257" s="1">
        <v>45720</v>
      </c>
      <c r="D2257" t="s">
        <v>223</v>
      </c>
      <c r="E2257" t="s">
        <v>90</v>
      </c>
      <c r="F2257" t="s">
        <v>91</v>
      </c>
      <c r="G2257" s="2">
        <v>37269.53</v>
      </c>
      <c r="H2257">
        <v>1084.25</v>
      </c>
      <c r="I2257">
        <v>34.373557758819459</v>
      </c>
      <c r="J2257">
        <v>45096.17</v>
      </c>
    </row>
    <row r="2258" spans="1:10" hidden="1" x14ac:dyDescent="0.25">
      <c r="A2258" t="s">
        <v>221</v>
      </c>
      <c r="B2258" t="s">
        <v>88</v>
      </c>
      <c r="C2258" s="1">
        <v>45720</v>
      </c>
      <c r="D2258" t="s">
        <v>223</v>
      </c>
      <c r="E2258" t="s">
        <v>92</v>
      </c>
      <c r="F2258" t="s">
        <v>91</v>
      </c>
      <c r="G2258" s="2">
        <v>4903.63</v>
      </c>
      <c r="H2258">
        <v>1084.25</v>
      </c>
      <c r="I2258">
        <v>4.5226008761816923</v>
      </c>
      <c r="J2258">
        <v>4903.63</v>
      </c>
    </row>
    <row r="2259" spans="1:10" hidden="1" x14ac:dyDescent="0.25">
      <c r="A2259" t="s">
        <v>420</v>
      </c>
      <c r="B2259" t="s">
        <v>88</v>
      </c>
      <c r="C2259" s="1">
        <v>45719</v>
      </c>
      <c r="D2259" t="s">
        <v>425</v>
      </c>
      <c r="E2259" t="s">
        <v>422</v>
      </c>
      <c r="F2259" t="s">
        <v>109</v>
      </c>
      <c r="G2259" s="2">
        <v>79694</v>
      </c>
      <c r="H2259">
        <v>1084.25</v>
      </c>
      <c r="I2259">
        <v>73.50149873184229</v>
      </c>
      <c r="J2259">
        <v>96429.74</v>
      </c>
    </row>
    <row r="2260" spans="1:10" hidden="1" x14ac:dyDescent="0.25">
      <c r="A2260" t="s">
        <v>265</v>
      </c>
      <c r="B2260" t="s">
        <v>88</v>
      </c>
      <c r="C2260" s="1">
        <v>45718</v>
      </c>
      <c r="D2260" t="s">
        <v>269</v>
      </c>
      <c r="E2260" t="s">
        <v>267</v>
      </c>
      <c r="F2260" t="s">
        <v>109</v>
      </c>
      <c r="G2260" s="2">
        <v>64600</v>
      </c>
      <c r="H2260">
        <v>1084.25</v>
      </c>
      <c r="I2260">
        <v>59.580355084159557</v>
      </c>
      <c r="J2260">
        <v>78166</v>
      </c>
    </row>
    <row r="2261" spans="1:10" hidden="1" x14ac:dyDescent="0.25">
      <c r="A2261" t="s">
        <v>112</v>
      </c>
      <c r="B2261" t="s">
        <v>88</v>
      </c>
      <c r="C2261" s="1">
        <v>45717</v>
      </c>
      <c r="D2261" t="s">
        <v>116</v>
      </c>
      <c r="E2261" t="s">
        <v>114</v>
      </c>
      <c r="F2261" t="s">
        <v>117</v>
      </c>
      <c r="G2261" s="2">
        <v>3697.7</v>
      </c>
      <c r="H2261">
        <v>1084.25</v>
      </c>
      <c r="I2261">
        <v>3.4103758358312195</v>
      </c>
      <c r="J2261">
        <v>4474.22</v>
      </c>
    </row>
    <row r="2262" spans="1:10" hidden="1" x14ac:dyDescent="0.25">
      <c r="A2262" t="s">
        <v>353</v>
      </c>
      <c r="B2262" t="s">
        <v>88</v>
      </c>
      <c r="C2262" s="1">
        <v>45717</v>
      </c>
      <c r="D2262" t="s">
        <v>356</v>
      </c>
      <c r="E2262" t="s">
        <v>114</v>
      </c>
      <c r="F2262" t="s">
        <v>117</v>
      </c>
      <c r="G2262" s="2">
        <v>1271.0899999999999</v>
      </c>
      <c r="H2262">
        <v>1084.25</v>
      </c>
      <c r="I2262">
        <v>1.1723218814848972</v>
      </c>
      <c r="J2262">
        <v>1538.02</v>
      </c>
    </row>
    <row r="2263" spans="1:10" hidden="1" x14ac:dyDescent="0.25">
      <c r="A2263" t="s">
        <v>478</v>
      </c>
      <c r="B2263" t="s">
        <v>88</v>
      </c>
      <c r="C2263" s="1">
        <v>45717</v>
      </c>
      <c r="D2263" t="s">
        <v>480</v>
      </c>
      <c r="E2263" t="s">
        <v>267</v>
      </c>
      <c r="F2263" t="s">
        <v>109</v>
      </c>
      <c r="G2263" s="2">
        <v>25795.040000000001</v>
      </c>
      <c r="H2263">
        <v>1084.25</v>
      </c>
      <c r="I2263">
        <v>23.790675582199679</v>
      </c>
      <c r="J2263">
        <v>31212</v>
      </c>
    </row>
    <row r="2264" spans="1:10" hidden="1" x14ac:dyDescent="0.25">
      <c r="A2264" t="s">
        <v>125</v>
      </c>
      <c r="B2264" t="s">
        <v>88</v>
      </c>
      <c r="C2264" s="1">
        <v>45716</v>
      </c>
      <c r="D2264" t="s">
        <v>129</v>
      </c>
      <c r="E2264" t="s">
        <v>114</v>
      </c>
      <c r="F2264" t="s">
        <v>115</v>
      </c>
      <c r="G2264" s="2">
        <v>6759.84</v>
      </c>
      <c r="H2264">
        <v>1084.25</v>
      </c>
      <c r="I2264">
        <v>6.2345768964722161</v>
      </c>
      <c r="J2264">
        <v>8179.41</v>
      </c>
    </row>
    <row r="2265" spans="1:10" hidden="1" x14ac:dyDescent="0.25">
      <c r="A2265" t="s">
        <v>125</v>
      </c>
      <c r="B2265" t="s">
        <v>88</v>
      </c>
      <c r="C2265" s="1">
        <v>45716</v>
      </c>
      <c r="D2265" t="s">
        <v>129</v>
      </c>
      <c r="E2265" t="s">
        <v>127</v>
      </c>
      <c r="F2265" t="s">
        <v>115</v>
      </c>
      <c r="G2265" s="2">
        <v>676.03</v>
      </c>
      <c r="H2265">
        <v>1084.25</v>
      </c>
      <c r="I2265">
        <v>0.62350011528706473</v>
      </c>
      <c r="J2265">
        <v>676.03</v>
      </c>
    </row>
    <row r="2266" spans="1:10" hidden="1" x14ac:dyDescent="0.25">
      <c r="A2266" t="s">
        <v>156</v>
      </c>
      <c r="B2266" t="s">
        <v>96</v>
      </c>
      <c r="C2266" s="1">
        <v>45716</v>
      </c>
      <c r="D2266" t="s">
        <v>157</v>
      </c>
      <c r="E2266" t="s">
        <v>158</v>
      </c>
      <c r="F2266" t="s">
        <v>159</v>
      </c>
      <c r="G2266" s="2">
        <v>240156.6</v>
      </c>
      <c r="H2266">
        <v>1084.25</v>
      </c>
      <c r="I2266">
        <v>221.49559603412499</v>
      </c>
      <c r="J2266">
        <v>240156.6</v>
      </c>
    </row>
    <row r="2267" spans="1:10" hidden="1" x14ac:dyDescent="0.25">
      <c r="A2267" t="s">
        <v>246</v>
      </c>
      <c r="B2267" t="s">
        <v>88</v>
      </c>
      <c r="C2267" s="1">
        <v>45716</v>
      </c>
      <c r="D2267" t="s">
        <v>256</v>
      </c>
      <c r="E2267" t="s">
        <v>114</v>
      </c>
      <c r="F2267" t="s">
        <v>115</v>
      </c>
      <c r="G2267" s="2">
        <v>28079.55</v>
      </c>
      <c r="H2267">
        <v>1084.25</v>
      </c>
      <c r="I2267">
        <v>25.897671201291214</v>
      </c>
      <c r="J2267">
        <v>33976.25</v>
      </c>
    </row>
    <row r="2268" spans="1:10" hidden="1" x14ac:dyDescent="0.25">
      <c r="A2268" t="s">
        <v>246</v>
      </c>
      <c r="B2268" t="s">
        <v>263</v>
      </c>
      <c r="C2268" s="1">
        <v>45716</v>
      </c>
      <c r="D2268" t="s">
        <v>264</v>
      </c>
      <c r="E2268" t="s">
        <v>127</v>
      </c>
      <c r="F2268" t="s">
        <v>115</v>
      </c>
      <c r="G2268" s="2">
        <v>409.4</v>
      </c>
      <c r="H2268">
        <v>1084.25</v>
      </c>
      <c r="I2268">
        <v>0.37758819460456533</v>
      </c>
      <c r="J2268">
        <v>409.4</v>
      </c>
    </row>
    <row r="2269" spans="1:10" hidden="1" x14ac:dyDescent="0.25">
      <c r="A2269" t="s">
        <v>300</v>
      </c>
      <c r="B2269" t="s">
        <v>88</v>
      </c>
      <c r="C2269" s="1">
        <v>45716</v>
      </c>
      <c r="D2269" t="s">
        <v>306</v>
      </c>
      <c r="E2269" t="s">
        <v>90</v>
      </c>
      <c r="F2269" t="s">
        <v>91</v>
      </c>
      <c r="G2269" s="2">
        <v>420962.52</v>
      </c>
      <c r="H2269">
        <v>1084.25</v>
      </c>
      <c r="I2269">
        <v>388.25226654369379</v>
      </c>
      <c r="J2269">
        <v>509364.65</v>
      </c>
    </row>
    <row r="2270" spans="1:10" hidden="1" x14ac:dyDescent="0.25">
      <c r="A2270" t="s">
        <v>300</v>
      </c>
      <c r="B2270" t="s">
        <v>88</v>
      </c>
      <c r="C2270" s="1">
        <v>45716</v>
      </c>
      <c r="D2270" t="s">
        <v>306</v>
      </c>
      <c r="E2270" t="s">
        <v>92</v>
      </c>
      <c r="F2270" t="s">
        <v>91</v>
      </c>
      <c r="G2270" s="2">
        <v>75263.039999999994</v>
      </c>
      <c r="H2270">
        <v>1084.25</v>
      </c>
      <c r="I2270">
        <v>69.414839750979937</v>
      </c>
      <c r="J2270">
        <v>75263.039999999994</v>
      </c>
    </row>
    <row r="2271" spans="1:10" hidden="1" x14ac:dyDescent="0.25">
      <c r="A2271" t="s">
        <v>324</v>
      </c>
      <c r="B2271" t="s">
        <v>279</v>
      </c>
      <c r="C2271" s="1">
        <v>45716</v>
      </c>
      <c r="D2271" t="s">
        <v>330</v>
      </c>
      <c r="E2271" t="s">
        <v>329</v>
      </c>
      <c r="F2271" t="s">
        <v>103</v>
      </c>
      <c r="G2271" s="2">
        <v>-139115.32</v>
      </c>
      <c r="H2271">
        <v>1084.25</v>
      </c>
      <c r="I2271">
        <v>-128.3055752824533</v>
      </c>
      <c r="J2271">
        <v>-139115.32</v>
      </c>
    </row>
    <row r="2272" spans="1:10" hidden="1" x14ac:dyDescent="0.25">
      <c r="A2272" t="s">
        <v>333</v>
      </c>
      <c r="B2272" t="s">
        <v>88</v>
      </c>
      <c r="C2272" s="1">
        <v>45716</v>
      </c>
      <c r="D2272" t="s">
        <v>335</v>
      </c>
      <c r="E2272" t="s">
        <v>90</v>
      </c>
      <c r="F2272" t="s">
        <v>91</v>
      </c>
      <c r="G2272" s="2">
        <v>41087.339999999997</v>
      </c>
      <c r="H2272">
        <v>1084.25</v>
      </c>
      <c r="I2272">
        <v>37.894710629467369</v>
      </c>
      <c r="J2272">
        <v>49715.68</v>
      </c>
    </row>
    <row r="2273" spans="1:10" hidden="1" x14ac:dyDescent="0.25">
      <c r="A2273" t="s">
        <v>333</v>
      </c>
      <c r="B2273" t="s">
        <v>88</v>
      </c>
      <c r="C2273" s="1">
        <v>45716</v>
      </c>
      <c r="D2273" t="s">
        <v>335</v>
      </c>
      <c r="E2273" t="s">
        <v>92</v>
      </c>
      <c r="F2273" t="s">
        <v>91</v>
      </c>
      <c r="G2273" s="2">
        <v>8298.36</v>
      </c>
      <c r="H2273">
        <v>1084.25</v>
      </c>
      <c r="I2273">
        <v>7.6535485358542781</v>
      </c>
      <c r="J2273">
        <v>8298.36</v>
      </c>
    </row>
    <row r="2274" spans="1:10" hidden="1" x14ac:dyDescent="0.25">
      <c r="A2274" t="s">
        <v>343</v>
      </c>
      <c r="B2274" t="s">
        <v>88</v>
      </c>
      <c r="C2274" s="1">
        <v>45716</v>
      </c>
      <c r="D2274" t="s">
        <v>344</v>
      </c>
      <c r="E2274" t="s">
        <v>136</v>
      </c>
      <c r="F2274" t="s">
        <v>109</v>
      </c>
      <c r="G2274" s="2">
        <v>35088.6</v>
      </c>
      <c r="H2274">
        <v>1084.25</v>
      </c>
      <c r="I2274">
        <v>32.362093613096611</v>
      </c>
      <c r="J2274">
        <v>42457.2</v>
      </c>
    </row>
    <row r="2275" spans="1:10" hidden="1" x14ac:dyDescent="0.25">
      <c r="A2275" t="s">
        <v>349</v>
      </c>
      <c r="B2275" t="s">
        <v>88</v>
      </c>
      <c r="C2275" s="1">
        <v>45716</v>
      </c>
      <c r="D2275" t="s">
        <v>350</v>
      </c>
      <c r="E2275" t="s">
        <v>102</v>
      </c>
      <c r="F2275" t="s">
        <v>109</v>
      </c>
      <c r="G2275" s="2">
        <v>110376</v>
      </c>
      <c r="H2275">
        <v>1084.25</v>
      </c>
      <c r="I2275">
        <v>101.79940050726309</v>
      </c>
      <c r="J2275">
        <v>110376</v>
      </c>
    </row>
    <row r="2276" spans="1:10" hidden="1" x14ac:dyDescent="0.25">
      <c r="A2276" t="s">
        <v>438</v>
      </c>
      <c r="B2276" t="s">
        <v>88</v>
      </c>
      <c r="C2276" s="1">
        <v>45716</v>
      </c>
      <c r="D2276" t="s">
        <v>441</v>
      </c>
      <c r="E2276" t="s">
        <v>440</v>
      </c>
      <c r="F2276" t="s">
        <v>109</v>
      </c>
      <c r="G2276" s="2">
        <v>110250</v>
      </c>
      <c r="H2276">
        <v>1084.25</v>
      </c>
      <c r="I2276">
        <v>101.68319114595343</v>
      </c>
      <c r="J2276">
        <v>110250</v>
      </c>
    </row>
    <row r="2277" spans="1:10" hidden="1" x14ac:dyDescent="0.25">
      <c r="A2277" t="s">
        <v>521</v>
      </c>
      <c r="B2277" t="s">
        <v>88</v>
      </c>
      <c r="C2277" s="1">
        <v>45716</v>
      </c>
      <c r="D2277" t="s">
        <v>522</v>
      </c>
      <c r="E2277" t="s">
        <v>136</v>
      </c>
      <c r="F2277" t="s">
        <v>135</v>
      </c>
      <c r="G2277" s="2">
        <v>54950</v>
      </c>
      <c r="H2277">
        <v>1084.25</v>
      </c>
      <c r="I2277">
        <v>50.68019368226885</v>
      </c>
      <c r="J2277">
        <v>66489.5</v>
      </c>
    </row>
    <row r="2278" spans="1:10" hidden="1" x14ac:dyDescent="0.25">
      <c r="A2278" t="s">
        <v>182</v>
      </c>
      <c r="B2278" t="s">
        <v>88</v>
      </c>
      <c r="C2278" s="1">
        <v>45715</v>
      </c>
      <c r="D2278" t="s">
        <v>195</v>
      </c>
      <c r="E2278" t="s">
        <v>184</v>
      </c>
      <c r="F2278" t="s">
        <v>196</v>
      </c>
      <c r="G2278" s="2">
        <v>267000</v>
      </c>
      <c r="H2278">
        <v>1081.75</v>
      </c>
      <c r="I2278">
        <v>246.82227871504506</v>
      </c>
      <c r="J2278">
        <v>323070</v>
      </c>
    </row>
    <row r="2279" spans="1:10" hidden="1" x14ac:dyDescent="0.25">
      <c r="A2279" t="s">
        <v>182</v>
      </c>
      <c r="B2279" t="s">
        <v>88</v>
      </c>
      <c r="C2279" s="1">
        <v>45715</v>
      </c>
      <c r="D2279" t="s">
        <v>197</v>
      </c>
      <c r="E2279" t="s">
        <v>184</v>
      </c>
      <c r="F2279" t="s">
        <v>18</v>
      </c>
      <c r="G2279" s="2">
        <v>25000</v>
      </c>
      <c r="H2279">
        <v>1081.75</v>
      </c>
      <c r="I2279">
        <v>23.110700254217704</v>
      </c>
      <c r="J2279">
        <v>30250</v>
      </c>
    </row>
    <row r="2280" spans="1:10" hidden="1" x14ac:dyDescent="0.25">
      <c r="A2280" t="s">
        <v>397</v>
      </c>
      <c r="B2280" t="s">
        <v>88</v>
      </c>
      <c r="C2280" s="1">
        <v>45715</v>
      </c>
      <c r="D2280" t="s">
        <v>399</v>
      </c>
      <c r="E2280" t="s">
        <v>184</v>
      </c>
      <c r="F2280" t="s">
        <v>109</v>
      </c>
      <c r="G2280" s="2">
        <v>9946.08</v>
      </c>
      <c r="H2280">
        <v>1081.75</v>
      </c>
      <c r="I2280">
        <v>9.1944349433787842</v>
      </c>
      <c r="J2280">
        <v>12034.76</v>
      </c>
    </row>
    <row r="2281" spans="1:10" hidden="1" x14ac:dyDescent="0.25">
      <c r="A2281" t="s">
        <v>173</v>
      </c>
      <c r="B2281" t="s">
        <v>145</v>
      </c>
      <c r="C2281" s="1">
        <v>45713</v>
      </c>
      <c r="D2281" t="s">
        <v>174</v>
      </c>
      <c r="E2281" t="s">
        <v>172</v>
      </c>
      <c r="G2281" s="2">
        <v>259</v>
      </c>
      <c r="H2281">
        <v>1081</v>
      </c>
      <c r="I2281">
        <v>0.23959296947271044</v>
      </c>
      <c r="J2281">
        <v>313.39</v>
      </c>
    </row>
    <row r="2282" spans="1:10" hidden="1" x14ac:dyDescent="0.25">
      <c r="A2282" t="s">
        <v>426</v>
      </c>
      <c r="B2282" t="s">
        <v>88</v>
      </c>
      <c r="C2282" s="1">
        <v>45713</v>
      </c>
      <c r="D2282" t="s">
        <v>434</v>
      </c>
      <c r="E2282" t="s">
        <v>136</v>
      </c>
      <c r="F2282" t="s">
        <v>109</v>
      </c>
      <c r="G2282" s="2">
        <v>20868.669999999998</v>
      </c>
      <c r="H2282">
        <v>1081</v>
      </c>
      <c r="I2282">
        <v>19.304967622571692</v>
      </c>
      <c r="J2282">
        <v>25251.09</v>
      </c>
    </row>
    <row r="2283" spans="1:10" hidden="1" x14ac:dyDescent="0.25">
      <c r="A2283" t="s">
        <v>207</v>
      </c>
      <c r="B2283" t="s">
        <v>208</v>
      </c>
      <c r="C2283" s="1">
        <v>45712</v>
      </c>
      <c r="D2283" t="s">
        <v>209</v>
      </c>
      <c r="E2283" t="s">
        <v>102</v>
      </c>
      <c r="F2283" t="s">
        <v>210</v>
      </c>
      <c r="G2283" s="2">
        <v>24382379.84</v>
      </c>
      <c r="H2283">
        <v>1080.5</v>
      </c>
      <c r="I2283">
        <v>22565.830485886163</v>
      </c>
      <c r="J2283">
        <v>24382379.84</v>
      </c>
    </row>
    <row r="2284" spans="1:10" hidden="1" x14ac:dyDescent="0.25">
      <c r="A2284" t="s">
        <v>289</v>
      </c>
      <c r="B2284" t="s">
        <v>88</v>
      </c>
      <c r="C2284" s="1">
        <v>45712</v>
      </c>
      <c r="D2284" t="s">
        <v>293</v>
      </c>
      <c r="E2284" t="s">
        <v>138</v>
      </c>
      <c r="F2284" t="s">
        <v>139</v>
      </c>
      <c r="G2284" s="2">
        <v>35548.46</v>
      </c>
      <c r="H2284">
        <v>1080.5</v>
      </c>
      <c r="I2284">
        <v>32.900009254974549</v>
      </c>
      <c r="J2284">
        <v>43013.63</v>
      </c>
    </row>
    <row r="2285" spans="1:10" hidden="1" x14ac:dyDescent="0.25">
      <c r="A2285" t="s">
        <v>289</v>
      </c>
      <c r="B2285" t="s">
        <v>88</v>
      </c>
      <c r="C2285" s="1">
        <v>45712</v>
      </c>
      <c r="D2285" t="s">
        <v>294</v>
      </c>
      <c r="E2285" t="s">
        <v>138</v>
      </c>
      <c r="F2285" t="s">
        <v>139</v>
      </c>
      <c r="G2285" s="2">
        <v>39480</v>
      </c>
      <c r="H2285">
        <v>1080.5</v>
      </c>
      <c r="I2285">
        <v>36.53863951874132</v>
      </c>
      <c r="J2285">
        <v>47770.8</v>
      </c>
    </row>
    <row r="2286" spans="1:10" hidden="1" x14ac:dyDescent="0.25">
      <c r="A2286" t="s">
        <v>397</v>
      </c>
      <c r="B2286" t="s">
        <v>88</v>
      </c>
      <c r="C2286" s="1">
        <v>45712</v>
      </c>
      <c r="D2286" t="s">
        <v>398</v>
      </c>
      <c r="E2286" t="s">
        <v>184</v>
      </c>
      <c r="F2286" t="s">
        <v>188</v>
      </c>
      <c r="G2286" s="2">
        <v>9914.7999999999993</v>
      </c>
      <c r="H2286">
        <v>1080.5</v>
      </c>
      <c r="I2286">
        <v>9.1761221656640437</v>
      </c>
      <c r="J2286">
        <v>11996.91</v>
      </c>
    </row>
    <row r="2287" spans="1:10" hidden="1" x14ac:dyDescent="0.25">
      <c r="A2287" t="s">
        <v>87</v>
      </c>
      <c r="B2287" t="s">
        <v>88</v>
      </c>
      <c r="C2287" s="1">
        <v>45709</v>
      </c>
      <c r="D2287" t="s">
        <v>94</v>
      </c>
      <c r="E2287" t="s">
        <v>90</v>
      </c>
      <c r="F2287" t="s">
        <v>91</v>
      </c>
      <c r="G2287" s="2">
        <v>62546.61</v>
      </c>
      <c r="H2287">
        <v>1080.25</v>
      </c>
      <c r="I2287">
        <v>57.900124971071513</v>
      </c>
      <c r="J2287">
        <v>75681.399999999994</v>
      </c>
    </row>
    <row r="2288" spans="1:10" hidden="1" x14ac:dyDescent="0.25">
      <c r="A2288" t="s">
        <v>87</v>
      </c>
      <c r="B2288" t="s">
        <v>88</v>
      </c>
      <c r="C2288" s="1">
        <v>45709</v>
      </c>
      <c r="D2288" t="s">
        <v>94</v>
      </c>
      <c r="E2288" t="s">
        <v>92</v>
      </c>
      <c r="F2288" t="s">
        <v>91</v>
      </c>
      <c r="G2288" s="2">
        <v>8320.5499999999993</v>
      </c>
      <c r="H2288">
        <v>1080.25</v>
      </c>
      <c r="I2288">
        <v>7.7024299930571622</v>
      </c>
      <c r="J2288">
        <v>8320.5499999999993</v>
      </c>
    </row>
    <row r="2289" spans="1:10" hidden="1" x14ac:dyDescent="0.25">
      <c r="A2289" t="s">
        <v>132</v>
      </c>
      <c r="B2289" t="s">
        <v>88</v>
      </c>
      <c r="C2289" s="1">
        <v>45709</v>
      </c>
      <c r="D2289" t="s">
        <v>143</v>
      </c>
      <c r="E2289" t="s">
        <v>136</v>
      </c>
      <c r="F2289" t="s">
        <v>135</v>
      </c>
      <c r="G2289" s="2">
        <v>35491.94</v>
      </c>
      <c r="H2289">
        <v>1080.25</v>
      </c>
      <c r="I2289">
        <v>32.855302013422822</v>
      </c>
      <c r="J2289">
        <v>42945.25</v>
      </c>
    </row>
    <row r="2290" spans="1:10" hidden="1" x14ac:dyDescent="0.25">
      <c r="A2290" t="s">
        <v>324</v>
      </c>
      <c r="B2290" t="s">
        <v>88</v>
      </c>
      <c r="C2290" s="1">
        <v>45709</v>
      </c>
      <c r="D2290" t="s">
        <v>327</v>
      </c>
      <c r="E2290" t="s">
        <v>136</v>
      </c>
      <c r="F2290" t="s">
        <v>103</v>
      </c>
      <c r="G2290" s="2">
        <v>139115.32</v>
      </c>
      <c r="H2290">
        <v>1080.25</v>
      </c>
      <c r="I2290">
        <v>128.7806711409396</v>
      </c>
      <c r="J2290">
        <v>139115.32</v>
      </c>
    </row>
    <row r="2291" spans="1:10" hidden="1" x14ac:dyDescent="0.25">
      <c r="A2291" t="s">
        <v>374</v>
      </c>
      <c r="B2291" t="s">
        <v>279</v>
      </c>
      <c r="C2291" s="1">
        <v>45709</v>
      </c>
      <c r="D2291" t="s">
        <v>378</v>
      </c>
      <c r="E2291" t="s">
        <v>376</v>
      </c>
      <c r="F2291" t="s">
        <v>109</v>
      </c>
      <c r="G2291" s="2">
        <v>-18181.82</v>
      </c>
      <c r="H2291">
        <v>1080.25</v>
      </c>
      <c r="I2291">
        <v>-16.831122425364498</v>
      </c>
      <c r="J2291">
        <v>-22000</v>
      </c>
    </row>
    <row r="2292" spans="1:10" hidden="1" x14ac:dyDescent="0.25">
      <c r="A2292" t="s">
        <v>389</v>
      </c>
      <c r="B2292" t="s">
        <v>88</v>
      </c>
      <c r="C2292" s="1">
        <v>45709</v>
      </c>
      <c r="D2292" t="s">
        <v>391</v>
      </c>
      <c r="E2292" t="s">
        <v>136</v>
      </c>
      <c r="G2292" s="2">
        <v>15027.25</v>
      </c>
      <c r="H2292">
        <v>1080.25</v>
      </c>
      <c r="I2292">
        <v>13.9109002545707</v>
      </c>
      <c r="J2292">
        <v>18185.3</v>
      </c>
    </row>
    <row r="2293" spans="1:10" hidden="1" x14ac:dyDescent="0.25">
      <c r="A2293" t="s">
        <v>389</v>
      </c>
      <c r="B2293" t="s">
        <v>279</v>
      </c>
      <c r="C2293" s="1">
        <v>45709</v>
      </c>
      <c r="D2293" t="s">
        <v>392</v>
      </c>
      <c r="E2293" t="s">
        <v>136</v>
      </c>
      <c r="G2293" s="2">
        <v>-15029.58</v>
      </c>
      <c r="H2293">
        <v>1080.25</v>
      </c>
      <c r="I2293">
        <v>-13.913057162693821</v>
      </c>
      <c r="J2293">
        <v>-18185.3</v>
      </c>
    </row>
    <row r="2294" spans="1:10" hidden="1" x14ac:dyDescent="0.25">
      <c r="A2294" t="s">
        <v>426</v>
      </c>
      <c r="B2294" t="s">
        <v>88</v>
      </c>
      <c r="C2294" s="1">
        <v>45709</v>
      </c>
      <c r="D2294" t="s">
        <v>432</v>
      </c>
      <c r="E2294" t="s">
        <v>136</v>
      </c>
      <c r="F2294" t="s">
        <v>27</v>
      </c>
      <c r="G2294" s="2">
        <v>16440.72</v>
      </c>
      <c r="H2294">
        <v>1080.25</v>
      </c>
      <c r="I2294">
        <v>15.219365887526036</v>
      </c>
      <c r="J2294">
        <v>19893.27</v>
      </c>
    </row>
    <row r="2295" spans="1:10" hidden="1" x14ac:dyDescent="0.25">
      <c r="A2295" t="s">
        <v>182</v>
      </c>
      <c r="B2295" t="s">
        <v>88</v>
      </c>
      <c r="C2295" s="1">
        <v>45708</v>
      </c>
      <c r="D2295" t="s">
        <v>192</v>
      </c>
      <c r="E2295" t="s">
        <v>184</v>
      </c>
      <c r="F2295" t="s">
        <v>188</v>
      </c>
      <c r="G2295" s="2">
        <v>7775.86</v>
      </c>
      <c r="H2295">
        <v>1079.25</v>
      </c>
      <c r="I2295">
        <v>7.2048737549223993</v>
      </c>
      <c r="J2295">
        <v>9408.7900000000009</v>
      </c>
    </row>
    <row r="2296" spans="1:10" hidden="1" x14ac:dyDescent="0.25">
      <c r="A2296" t="s">
        <v>182</v>
      </c>
      <c r="B2296" t="s">
        <v>88</v>
      </c>
      <c r="C2296" s="1">
        <v>45708</v>
      </c>
      <c r="D2296" t="s">
        <v>193</v>
      </c>
      <c r="E2296" t="s">
        <v>184</v>
      </c>
      <c r="F2296" t="s">
        <v>188</v>
      </c>
      <c r="G2296" s="2">
        <v>11131.66</v>
      </c>
      <c r="H2296">
        <v>1079.25</v>
      </c>
      <c r="I2296">
        <v>10.314255269863331</v>
      </c>
      <c r="J2296">
        <v>13469.31</v>
      </c>
    </row>
    <row r="2297" spans="1:10" hidden="1" x14ac:dyDescent="0.25">
      <c r="A2297" t="s">
        <v>226</v>
      </c>
      <c r="B2297" t="s">
        <v>88</v>
      </c>
      <c r="C2297" s="1">
        <v>45708</v>
      </c>
      <c r="D2297" t="s">
        <v>231</v>
      </c>
      <c r="E2297" t="s">
        <v>232</v>
      </c>
      <c r="F2297" t="s">
        <v>109</v>
      </c>
      <c r="G2297" s="2">
        <v>5083.1400000000003</v>
      </c>
      <c r="H2297">
        <v>1079.25</v>
      </c>
      <c r="I2297">
        <v>4.7098818624044476</v>
      </c>
      <c r="J2297">
        <v>6455.59</v>
      </c>
    </row>
    <row r="2298" spans="1:10" hidden="1" x14ac:dyDescent="0.25">
      <c r="A2298" t="s">
        <v>226</v>
      </c>
      <c r="B2298" t="s">
        <v>88</v>
      </c>
      <c r="C2298" s="1">
        <v>45708</v>
      </c>
      <c r="D2298" t="s">
        <v>231</v>
      </c>
      <c r="E2298" t="s">
        <v>233</v>
      </c>
      <c r="F2298" t="s">
        <v>109</v>
      </c>
      <c r="G2298" s="2">
        <v>483.09</v>
      </c>
      <c r="H2298">
        <v>1079.25</v>
      </c>
      <c r="I2298">
        <v>0.44761640027797078</v>
      </c>
      <c r="J2298">
        <v>483.09</v>
      </c>
    </row>
    <row r="2299" spans="1:10" hidden="1" x14ac:dyDescent="0.25">
      <c r="A2299" t="s">
        <v>226</v>
      </c>
      <c r="B2299" t="s">
        <v>88</v>
      </c>
      <c r="C2299" s="1">
        <v>45708</v>
      </c>
      <c r="D2299" t="s">
        <v>234</v>
      </c>
      <c r="E2299" t="s">
        <v>232</v>
      </c>
      <c r="F2299" t="s">
        <v>109</v>
      </c>
      <c r="G2299" s="2">
        <v>5083.1400000000003</v>
      </c>
      <c r="H2299">
        <v>1079.25</v>
      </c>
      <c r="I2299">
        <v>4.7098818624044476</v>
      </c>
      <c r="J2299">
        <v>6455.59</v>
      </c>
    </row>
    <row r="2300" spans="1:10" hidden="1" x14ac:dyDescent="0.25">
      <c r="A2300" t="s">
        <v>226</v>
      </c>
      <c r="B2300" t="s">
        <v>88</v>
      </c>
      <c r="C2300" s="1">
        <v>45708</v>
      </c>
      <c r="D2300" t="s">
        <v>234</v>
      </c>
      <c r="E2300" t="s">
        <v>233</v>
      </c>
      <c r="F2300" t="s">
        <v>109</v>
      </c>
      <c r="G2300" s="2">
        <v>483.09</v>
      </c>
      <c r="H2300">
        <v>1079.25</v>
      </c>
      <c r="I2300">
        <v>0.44761640027797078</v>
      </c>
      <c r="J2300">
        <v>483.09</v>
      </c>
    </row>
    <row r="2301" spans="1:10" hidden="1" x14ac:dyDescent="0.25">
      <c r="A2301" t="s">
        <v>246</v>
      </c>
      <c r="B2301" t="s">
        <v>88</v>
      </c>
      <c r="C2301" s="1">
        <v>45708</v>
      </c>
      <c r="D2301" t="s">
        <v>253</v>
      </c>
      <c r="E2301" t="s">
        <v>114</v>
      </c>
      <c r="F2301" t="s">
        <v>115</v>
      </c>
      <c r="G2301" s="2">
        <v>10607.82</v>
      </c>
      <c r="H2301">
        <v>1079.25</v>
      </c>
      <c r="I2301">
        <v>9.8288811674774141</v>
      </c>
      <c r="J2301">
        <v>12835.46</v>
      </c>
    </row>
    <row r="2302" spans="1:10" hidden="1" x14ac:dyDescent="0.25">
      <c r="A2302" t="s">
        <v>515</v>
      </c>
      <c r="B2302" t="s">
        <v>88</v>
      </c>
      <c r="C2302" s="1">
        <v>45708</v>
      </c>
      <c r="D2302" t="s">
        <v>518</v>
      </c>
      <c r="E2302" t="s">
        <v>184</v>
      </c>
      <c r="F2302" t="s">
        <v>188</v>
      </c>
      <c r="G2302" s="2">
        <v>20431.86</v>
      </c>
      <c r="H2302">
        <v>1079.25</v>
      </c>
      <c r="I2302">
        <v>18.931535788742181</v>
      </c>
      <c r="J2302">
        <v>24722.55</v>
      </c>
    </row>
    <row r="2303" spans="1:10" hidden="1" x14ac:dyDescent="0.25">
      <c r="A2303" t="s">
        <v>561</v>
      </c>
      <c r="B2303" t="s">
        <v>88</v>
      </c>
      <c r="C2303" s="1">
        <v>45708</v>
      </c>
      <c r="D2303" t="s">
        <v>563</v>
      </c>
      <c r="E2303" t="s">
        <v>90</v>
      </c>
      <c r="F2303" t="s">
        <v>91</v>
      </c>
      <c r="G2303" s="2">
        <v>5256.45</v>
      </c>
      <c r="H2303">
        <v>1079.25</v>
      </c>
      <c r="I2303">
        <v>4.8704656011118832</v>
      </c>
      <c r="J2303">
        <v>6360.3</v>
      </c>
    </row>
    <row r="2304" spans="1:10" hidden="1" x14ac:dyDescent="0.25">
      <c r="A2304" t="s">
        <v>561</v>
      </c>
      <c r="B2304" t="s">
        <v>88</v>
      </c>
      <c r="C2304" s="1">
        <v>45708</v>
      </c>
      <c r="D2304" t="s">
        <v>563</v>
      </c>
      <c r="E2304" t="s">
        <v>92</v>
      </c>
      <c r="F2304" t="s">
        <v>91</v>
      </c>
      <c r="G2304" s="2">
        <v>1145.7</v>
      </c>
      <c r="H2304">
        <v>1079.25</v>
      </c>
      <c r="I2304">
        <v>1.0615705350938152</v>
      </c>
      <c r="J2304">
        <v>1145.7</v>
      </c>
    </row>
    <row r="2305" spans="1:10" hidden="1" x14ac:dyDescent="0.25">
      <c r="A2305" t="s">
        <v>161</v>
      </c>
      <c r="B2305" t="s">
        <v>88</v>
      </c>
      <c r="C2305" s="1">
        <v>45707</v>
      </c>
      <c r="D2305" t="s">
        <v>168</v>
      </c>
      <c r="E2305" t="s">
        <v>136</v>
      </c>
      <c r="F2305" t="s">
        <v>16</v>
      </c>
      <c r="G2305" s="2">
        <v>235275.95</v>
      </c>
      <c r="H2305">
        <v>1079</v>
      </c>
      <c r="I2305">
        <v>218.05</v>
      </c>
      <c r="J2305">
        <v>284683.90000000002</v>
      </c>
    </row>
    <row r="2306" spans="1:10" hidden="1" x14ac:dyDescent="0.25">
      <c r="A2306" t="s">
        <v>497</v>
      </c>
      <c r="B2306" t="s">
        <v>88</v>
      </c>
      <c r="C2306" s="1">
        <v>45707</v>
      </c>
      <c r="D2306" t="s">
        <v>499</v>
      </c>
      <c r="E2306" t="s">
        <v>136</v>
      </c>
      <c r="F2306" t="s">
        <v>27</v>
      </c>
      <c r="G2306" s="2">
        <v>858.36</v>
      </c>
      <c r="H2306">
        <v>1079</v>
      </c>
      <c r="I2306">
        <v>0.7955143651529194</v>
      </c>
      <c r="J2306">
        <v>1038.6199999999999</v>
      </c>
    </row>
    <row r="2307" spans="1:10" hidden="1" x14ac:dyDescent="0.25">
      <c r="A2307" t="s">
        <v>497</v>
      </c>
      <c r="B2307" t="s">
        <v>199</v>
      </c>
      <c r="C2307" s="1">
        <v>45707</v>
      </c>
      <c r="D2307" t="s">
        <v>500</v>
      </c>
      <c r="E2307" t="s">
        <v>136</v>
      </c>
      <c r="F2307" t="s">
        <v>27</v>
      </c>
      <c r="G2307" s="2">
        <v>-17261.080000000002</v>
      </c>
      <c r="H2307">
        <v>1079</v>
      </c>
      <c r="I2307">
        <v>-15.997293790546804</v>
      </c>
      <c r="J2307">
        <v>-20885.91</v>
      </c>
    </row>
    <row r="2308" spans="1:10" hidden="1" x14ac:dyDescent="0.25">
      <c r="A2308" t="s">
        <v>161</v>
      </c>
      <c r="B2308" t="s">
        <v>88</v>
      </c>
      <c r="C2308" s="1">
        <v>45706</v>
      </c>
      <c r="D2308" t="s">
        <v>167</v>
      </c>
      <c r="E2308" t="s">
        <v>136</v>
      </c>
      <c r="F2308" t="s">
        <v>18</v>
      </c>
      <c r="G2308" s="2">
        <v>96043.27</v>
      </c>
      <c r="H2308">
        <v>1079</v>
      </c>
      <c r="I2308">
        <v>89.011371640407788</v>
      </c>
      <c r="J2308">
        <v>116212.36</v>
      </c>
    </row>
    <row r="2309" spans="1:10" hidden="1" x14ac:dyDescent="0.25">
      <c r="A2309" t="s">
        <v>161</v>
      </c>
      <c r="B2309" t="s">
        <v>88</v>
      </c>
      <c r="C2309" s="1">
        <v>45706</v>
      </c>
      <c r="D2309" t="s">
        <v>167</v>
      </c>
      <c r="E2309" t="s">
        <v>136</v>
      </c>
      <c r="F2309" t="s">
        <v>163</v>
      </c>
      <c r="G2309" s="2">
        <v>144064.9</v>
      </c>
      <c r="H2309">
        <v>1079</v>
      </c>
      <c r="I2309">
        <v>133.51705282669138</v>
      </c>
      <c r="J2309">
        <v>174318.53</v>
      </c>
    </row>
    <row r="2310" spans="1:10" hidden="1" x14ac:dyDescent="0.25">
      <c r="A2310" t="s">
        <v>336</v>
      </c>
      <c r="B2310" t="s">
        <v>88</v>
      </c>
      <c r="C2310" s="1">
        <v>45706</v>
      </c>
      <c r="D2310" t="s">
        <v>337</v>
      </c>
      <c r="E2310" t="s">
        <v>338</v>
      </c>
      <c r="F2310" t="s">
        <v>103</v>
      </c>
      <c r="G2310" s="2">
        <v>112728</v>
      </c>
      <c r="H2310">
        <v>1079</v>
      </c>
      <c r="I2310">
        <v>104.47451343836886</v>
      </c>
      <c r="J2310">
        <v>136400.88</v>
      </c>
    </row>
    <row r="2311" spans="1:10" hidden="1" x14ac:dyDescent="0.25">
      <c r="A2311" t="s">
        <v>336</v>
      </c>
      <c r="B2311" t="s">
        <v>88</v>
      </c>
      <c r="C2311" s="1">
        <v>45706</v>
      </c>
      <c r="D2311" t="s">
        <v>337</v>
      </c>
      <c r="E2311" t="s">
        <v>338</v>
      </c>
      <c r="F2311" t="s">
        <v>105</v>
      </c>
      <c r="G2311" s="2">
        <v>58072</v>
      </c>
      <c r="H2311">
        <v>1079</v>
      </c>
      <c r="I2311">
        <v>53.820203892493048</v>
      </c>
      <c r="J2311">
        <v>70267.12</v>
      </c>
    </row>
    <row r="2312" spans="1:10" hidden="1" x14ac:dyDescent="0.25">
      <c r="A2312" t="s">
        <v>443</v>
      </c>
      <c r="B2312" t="s">
        <v>88</v>
      </c>
      <c r="C2312" s="1">
        <v>45706</v>
      </c>
      <c r="D2312" t="s">
        <v>446</v>
      </c>
      <c r="E2312" t="s">
        <v>90</v>
      </c>
      <c r="F2312" t="s">
        <v>91</v>
      </c>
      <c r="G2312" s="2">
        <v>40852.32</v>
      </c>
      <c r="H2312">
        <v>1079</v>
      </c>
      <c r="I2312">
        <v>37.861278962001855</v>
      </c>
      <c r="J2312">
        <v>49431.32</v>
      </c>
    </row>
    <row r="2313" spans="1:10" hidden="1" x14ac:dyDescent="0.25">
      <c r="A2313" t="s">
        <v>443</v>
      </c>
      <c r="B2313" t="s">
        <v>88</v>
      </c>
      <c r="C2313" s="1">
        <v>45706</v>
      </c>
      <c r="D2313" t="s">
        <v>446</v>
      </c>
      <c r="E2313" t="s">
        <v>92</v>
      </c>
      <c r="F2313" t="s">
        <v>91</v>
      </c>
      <c r="G2313" s="2">
        <v>10571.66</v>
      </c>
      <c r="H2313">
        <v>1079</v>
      </c>
      <c r="I2313">
        <v>9.7976459684893413</v>
      </c>
      <c r="J2313">
        <v>10571.66</v>
      </c>
    </row>
    <row r="2314" spans="1:10" hidden="1" x14ac:dyDescent="0.25">
      <c r="A2314" t="s">
        <v>455</v>
      </c>
      <c r="B2314" t="s">
        <v>88</v>
      </c>
      <c r="C2314" s="1">
        <v>45706</v>
      </c>
      <c r="D2314" t="s">
        <v>457</v>
      </c>
      <c r="E2314" t="s">
        <v>136</v>
      </c>
      <c r="F2314" t="s">
        <v>27</v>
      </c>
      <c r="G2314" s="2">
        <v>110837.81</v>
      </c>
      <c r="H2314">
        <v>1079</v>
      </c>
      <c r="I2314">
        <v>102.72271547729379</v>
      </c>
      <c r="J2314">
        <v>134113.75</v>
      </c>
    </row>
    <row r="2315" spans="1:10" hidden="1" x14ac:dyDescent="0.25">
      <c r="A2315" t="s">
        <v>552</v>
      </c>
      <c r="B2315" t="s">
        <v>88</v>
      </c>
      <c r="C2315" s="1">
        <v>45706</v>
      </c>
      <c r="D2315" t="s">
        <v>556</v>
      </c>
      <c r="E2315" t="s">
        <v>136</v>
      </c>
      <c r="F2315" t="s">
        <v>16</v>
      </c>
      <c r="G2315" s="2">
        <v>102720.8</v>
      </c>
      <c r="H2315">
        <v>1079</v>
      </c>
      <c r="I2315">
        <v>95.2</v>
      </c>
      <c r="J2315">
        <v>124292.17</v>
      </c>
    </row>
    <row r="2316" spans="1:10" hidden="1" x14ac:dyDescent="0.25">
      <c r="A2316" t="s">
        <v>552</v>
      </c>
      <c r="B2316" t="s">
        <v>199</v>
      </c>
      <c r="C2316" s="1">
        <v>45706</v>
      </c>
      <c r="D2316" t="s">
        <v>559</v>
      </c>
      <c r="E2316" t="s">
        <v>136</v>
      </c>
      <c r="F2316" t="s">
        <v>16</v>
      </c>
      <c r="G2316" s="2">
        <v>-87115.5</v>
      </c>
      <c r="H2316">
        <v>1079</v>
      </c>
      <c r="I2316">
        <v>-80.73725671918443</v>
      </c>
      <c r="J2316">
        <v>-105409.76</v>
      </c>
    </row>
    <row r="2317" spans="1:10" hidden="1" x14ac:dyDescent="0.25">
      <c r="A2317" t="s">
        <v>426</v>
      </c>
      <c r="B2317" t="s">
        <v>88</v>
      </c>
      <c r="C2317" s="1">
        <v>45705</v>
      </c>
      <c r="D2317" t="s">
        <v>430</v>
      </c>
      <c r="E2317" t="s">
        <v>136</v>
      </c>
      <c r="F2317" t="s">
        <v>27</v>
      </c>
      <c r="G2317" s="2">
        <v>204552.11</v>
      </c>
      <c r="H2317">
        <v>1078.75</v>
      </c>
      <c r="I2317">
        <v>189.61956894553882</v>
      </c>
      <c r="J2317">
        <v>247508.05</v>
      </c>
    </row>
    <row r="2318" spans="1:10" hidden="1" x14ac:dyDescent="0.25">
      <c r="A2318" t="s">
        <v>497</v>
      </c>
      <c r="B2318" t="s">
        <v>88</v>
      </c>
      <c r="C2318" s="1">
        <v>45705</v>
      </c>
      <c r="D2318" t="s">
        <v>498</v>
      </c>
      <c r="E2318" t="s">
        <v>136</v>
      </c>
      <c r="F2318" t="s">
        <v>27</v>
      </c>
      <c r="G2318" s="2">
        <v>46322.43</v>
      </c>
      <c r="H2318">
        <v>1078.75</v>
      </c>
      <c r="I2318">
        <v>42.940838933951333</v>
      </c>
      <c r="J2318">
        <v>56050.14</v>
      </c>
    </row>
    <row r="2319" spans="1:10" hidden="1" x14ac:dyDescent="0.25">
      <c r="A2319" t="s">
        <v>552</v>
      </c>
      <c r="B2319" t="s">
        <v>88</v>
      </c>
      <c r="C2319" s="1">
        <v>45705</v>
      </c>
      <c r="D2319" t="s">
        <v>555</v>
      </c>
      <c r="E2319" t="s">
        <v>136</v>
      </c>
      <c r="F2319" t="s">
        <v>27</v>
      </c>
      <c r="G2319" s="2">
        <v>487799.46</v>
      </c>
      <c r="H2319">
        <v>1078.75</v>
      </c>
      <c r="I2319">
        <v>452.18953418308229</v>
      </c>
      <c r="J2319">
        <v>590237.35</v>
      </c>
    </row>
    <row r="2320" spans="1:10" hidden="1" x14ac:dyDescent="0.25">
      <c r="A2320" t="s">
        <v>112</v>
      </c>
      <c r="B2320" t="s">
        <v>88</v>
      </c>
      <c r="C2320" s="1">
        <v>45704</v>
      </c>
      <c r="D2320" t="s">
        <v>121</v>
      </c>
      <c r="E2320" t="s">
        <v>114</v>
      </c>
      <c r="F2320" t="s">
        <v>115</v>
      </c>
      <c r="G2320" s="2">
        <v>5662.12</v>
      </c>
      <c r="H2320">
        <v>1078</v>
      </c>
      <c r="I2320">
        <v>5.252430426716141</v>
      </c>
      <c r="J2320">
        <v>6851.17</v>
      </c>
    </row>
    <row r="2321" spans="1:10" hidden="1" x14ac:dyDescent="0.25">
      <c r="A2321" t="s">
        <v>353</v>
      </c>
      <c r="B2321" t="s">
        <v>88</v>
      </c>
      <c r="C2321" s="1">
        <v>45704</v>
      </c>
      <c r="D2321" t="s">
        <v>359</v>
      </c>
      <c r="E2321" t="s">
        <v>114</v>
      </c>
      <c r="F2321" t="s">
        <v>115</v>
      </c>
      <c r="G2321" s="2">
        <v>13519.8</v>
      </c>
      <c r="H2321">
        <v>1078</v>
      </c>
      <c r="I2321">
        <v>12.541558441558442</v>
      </c>
      <c r="J2321">
        <v>16358.96</v>
      </c>
    </row>
    <row r="2322" spans="1:10" hidden="1" x14ac:dyDescent="0.25">
      <c r="A2322" t="s">
        <v>123</v>
      </c>
      <c r="B2322" t="s">
        <v>88</v>
      </c>
      <c r="C2322" s="1">
        <v>45703</v>
      </c>
      <c r="D2322" t="s">
        <v>124</v>
      </c>
      <c r="E2322" t="s">
        <v>114</v>
      </c>
      <c r="G2322" s="2">
        <v>2644.27</v>
      </c>
      <c r="H2322">
        <v>1078</v>
      </c>
      <c r="I2322">
        <v>2.4529406307977735</v>
      </c>
      <c r="J2322">
        <v>3199.56</v>
      </c>
    </row>
    <row r="2323" spans="1:10" hidden="1" x14ac:dyDescent="0.25">
      <c r="A2323" t="s">
        <v>125</v>
      </c>
      <c r="B2323" t="s">
        <v>88</v>
      </c>
      <c r="C2323" s="1">
        <v>45703</v>
      </c>
      <c r="D2323" t="s">
        <v>128</v>
      </c>
      <c r="E2323" t="s">
        <v>114</v>
      </c>
      <c r="F2323" t="s">
        <v>115</v>
      </c>
      <c r="G2323" s="2">
        <v>8690.9599999999991</v>
      </c>
      <c r="H2323">
        <v>1078</v>
      </c>
      <c r="I2323">
        <v>8.0621150278293126</v>
      </c>
      <c r="J2323">
        <v>10516.06</v>
      </c>
    </row>
    <row r="2324" spans="1:10" hidden="1" x14ac:dyDescent="0.25">
      <c r="A2324" t="s">
        <v>125</v>
      </c>
      <c r="B2324" t="s">
        <v>88</v>
      </c>
      <c r="C2324" s="1">
        <v>45703</v>
      </c>
      <c r="D2324" t="s">
        <v>128</v>
      </c>
      <c r="E2324" t="s">
        <v>127</v>
      </c>
      <c r="F2324" t="s">
        <v>115</v>
      </c>
      <c r="G2324" s="2">
        <v>869.13</v>
      </c>
      <c r="H2324">
        <v>1078</v>
      </c>
      <c r="I2324">
        <v>0.80624304267161406</v>
      </c>
      <c r="J2324">
        <v>869.13</v>
      </c>
    </row>
    <row r="2325" spans="1:10" hidden="1" x14ac:dyDescent="0.25">
      <c r="A2325" t="s">
        <v>240</v>
      </c>
      <c r="B2325" t="s">
        <v>88</v>
      </c>
      <c r="C2325" s="1">
        <v>45703</v>
      </c>
      <c r="D2325" t="s">
        <v>242</v>
      </c>
      <c r="E2325" t="s">
        <v>114</v>
      </c>
      <c r="G2325" s="2">
        <v>9927.27</v>
      </c>
      <c r="H2325">
        <v>1078</v>
      </c>
      <c r="I2325">
        <v>9.2089703153988864</v>
      </c>
      <c r="J2325">
        <v>12012</v>
      </c>
    </row>
    <row r="2326" spans="1:10" hidden="1" x14ac:dyDescent="0.25">
      <c r="A2326" t="s">
        <v>246</v>
      </c>
      <c r="B2326" t="s">
        <v>88</v>
      </c>
      <c r="C2326" s="1">
        <v>45702</v>
      </c>
      <c r="D2326" t="s">
        <v>250</v>
      </c>
      <c r="E2326" t="s">
        <v>114</v>
      </c>
      <c r="F2326" t="s">
        <v>115</v>
      </c>
      <c r="G2326" s="2">
        <v>39519.379999999997</v>
      </c>
      <c r="H2326">
        <v>1078</v>
      </c>
      <c r="I2326">
        <v>36.659907235621517</v>
      </c>
      <c r="J2326">
        <v>47818.44</v>
      </c>
    </row>
    <row r="2327" spans="1:10" hidden="1" x14ac:dyDescent="0.25">
      <c r="A2327" t="s">
        <v>246</v>
      </c>
      <c r="B2327" t="s">
        <v>96</v>
      </c>
      <c r="C2327" s="1">
        <v>45702</v>
      </c>
      <c r="D2327" t="s">
        <v>261</v>
      </c>
      <c r="E2327" t="s">
        <v>127</v>
      </c>
      <c r="G2327" s="2">
        <v>2600.19</v>
      </c>
      <c r="H2327">
        <v>1078</v>
      </c>
      <c r="I2327">
        <v>2.4120500927643787</v>
      </c>
      <c r="J2327">
        <v>2600.19</v>
      </c>
    </row>
    <row r="2328" spans="1:10" hidden="1" x14ac:dyDescent="0.25">
      <c r="A2328" t="s">
        <v>473</v>
      </c>
      <c r="B2328" t="s">
        <v>88</v>
      </c>
      <c r="C2328" s="1">
        <v>45702</v>
      </c>
      <c r="D2328" t="s">
        <v>477</v>
      </c>
      <c r="E2328" t="s">
        <v>147</v>
      </c>
      <c r="G2328" s="2">
        <v>4283.22</v>
      </c>
      <c r="H2328">
        <v>1078</v>
      </c>
      <c r="I2328">
        <v>3.9733024118738407</v>
      </c>
      <c r="J2328">
        <v>4283.22</v>
      </c>
    </row>
    <row r="2329" spans="1:10" hidden="1" x14ac:dyDescent="0.25">
      <c r="A2329" t="s">
        <v>473</v>
      </c>
      <c r="B2329" t="s">
        <v>88</v>
      </c>
      <c r="C2329" s="1">
        <v>45702</v>
      </c>
      <c r="D2329" t="s">
        <v>477</v>
      </c>
      <c r="E2329" t="s">
        <v>152</v>
      </c>
      <c r="G2329" s="2">
        <v>370986.45</v>
      </c>
      <c r="H2329">
        <v>1078</v>
      </c>
      <c r="I2329">
        <v>344.14327458256031</v>
      </c>
      <c r="J2329">
        <v>448893.6</v>
      </c>
    </row>
    <row r="2330" spans="1:10" hidden="1" x14ac:dyDescent="0.25">
      <c r="A2330" t="s">
        <v>473</v>
      </c>
      <c r="B2330" t="s">
        <v>88</v>
      </c>
      <c r="C2330" s="1">
        <v>45702</v>
      </c>
      <c r="D2330" t="s">
        <v>477</v>
      </c>
      <c r="E2330" t="s">
        <v>476</v>
      </c>
      <c r="G2330" s="2">
        <v>5571.68</v>
      </c>
      <c r="H2330">
        <v>1078</v>
      </c>
      <c r="I2330">
        <v>5.1685343228200376</v>
      </c>
      <c r="J2330">
        <v>5571.68</v>
      </c>
    </row>
    <row r="2331" spans="1:10" hidden="1" x14ac:dyDescent="0.25">
      <c r="A2331" t="s">
        <v>504</v>
      </c>
      <c r="B2331" t="s">
        <v>88</v>
      </c>
      <c r="C2331" s="1">
        <v>45702</v>
      </c>
      <c r="D2331" t="s">
        <v>508</v>
      </c>
      <c r="E2331" t="s">
        <v>147</v>
      </c>
      <c r="F2331" t="s">
        <v>179</v>
      </c>
      <c r="G2331" s="2">
        <v>10966.46</v>
      </c>
      <c r="H2331">
        <v>1078</v>
      </c>
      <c r="I2331">
        <v>10.172968460111317</v>
      </c>
      <c r="J2331">
        <v>10966.46</v>
      </c>
    </row>
    <row r="2332" spans="1:10" hidden="1" x14ac:dyDescent="0.25">
      <c r="A2332" t="s">
        <v>504</v>
      </c>
      <c r="B2332" t="s">
        <v>88</v>
      </c>
      <c r="C2332" s="1">
        <v>45702</v>
      </c>
      <c r="D2332" t="s">
        <v>508</v>
      </c>
      <c r="E2332" t="s">
        <v>506</v>
      </c>
      <c r="F2332" t="s">
        <v>179</v>
      </c>
      <c r="G2332" s="2">
        <v>217227.13</v>
      </c>
      <c r="H2332">
        <v>1078</v>
      </c>
      <c r="I2332">
        <v>201.50939703153989</v>
      </c>
      <c r="J2332">
        <v>275878.46000000002</v>
      </c>
    </row>
    <row r="2333" spans="1:10" hidden="1" x14ac:dyDescent="0.25">
      <c r="A2333" t="s">
        <v>346</v>
      </c>
      <c r="B2333" t="s">
        <v>88</v>
      </c>
      <c r="C2333" s="1">
        <v>45701</v>
      </c>
      <c r="D2333" t="s">
        <v>348</v>
      </c>
      <c r="E2333" t="s">
        <v>90</v>
      </c>
      <c r="F2333" t="s">
        <v>91</v>
      </c>
      <c r="G2333" s="2">
        <v>23109.84</v>
      </c>
      <c r="H2333">
        <v>1077.25</v>
      </c>
      <c r="I2333">
        <v>21.452624738918544</v>
      </c>
      <c r="J2333">
        <v>27962.91</v>
      </c>
    </row>
    <row r="2334" spans="1:10" hidden="1" x14ac:dyDescent="0.25">
      <c r="A2334" t="s">
        <v>346</v>
      </c>
      <c r="B2334" t="s">
        <v>88</v>
      </c>
      <c r="C2334" s="1">
        <v>45701</v>
      </c>
      <c r="D2334" t="s">
        <v>348</v>
      </c>
      <c r="E2334" t="s">
        <v>92</v>
      </c>
      <c r="F2334" t="s">
        <v>91</v>
      </c>
      <c r="G2334" s="2">
        <v>3073.14</v>
      </c>
      <c r="H2334">
        <v>1077.25</v>
      </c>
      <c r="I2334">
        <v>2.8527639823624971</v>
      </c>
      <c r="J2334">
        <v>3073.14</v>
      </c>
    </row>
    <row r="2335" spans="1:10" hidden="1" x14ac:dyDescent="0.25">
      <c r="A2335" t="s">
        <v>379</v>
      </c>
      <c r="B2335" t="s">
        <v>88</v>
      </c>
      <c r="C2335" s="1">
        <v>45701</v>
      </c>
      <c r="D2335" t="s">
        <v>380</v>
      </c>
      <c r="E2335" t="s">
        <v>90</v>
      </c>
      <c r="F2335" t="s">
        <v>91</v>
      </c>
      <c r="G2335" s="2">
        <v>6198.35</v>
      </c>
      <c r="H2335">
        <v>1077.25</v>
      </c>
      <c r="I2335">
        <v>5.7538640055697385</v>
      </c>
      <c r="J2335">
        <v>7500</v>
      </c>
    </row>
    <row r="2336" spans="1:10" hidden="1" x14ac:dyDescent="0.25">
      <c r="A2336" t="s">
        <v>533</v>
      </c>
      <c r="B2336" t="s">
        <v>88</v>
      </c>
      <c r="C2336" s="1">
        <v>45701</v>
      </c>
      <c r="D2336" t="s">
        <v>538</v>
      </c>
      <c r="E2336" t="s">
        <v>90</v>
      </c>
      <c r="F2336" t="s">
        <v>91</v>
      </c>
      <c r="G2336" s="2">
        <v>28139.4</v>
      </c>
      <c r="H2336">
        <v>1077.25</v>
      </c>
      <c r="I2336">
        <v>26.121513112090973</v>
      </c>
      <c r="J2336">
        <v>34048.67</v>
      </c>
    </row>
    <row r="2337" spans="1:10" hidden="1" x14ac:dyDescent="0.25">
      <c r="A2337" t="s">
        <v>533</v>
      </c>
      <c r="B2337" t="s">
        <v>88</v>
      </c>
      <c r="C2337" s="1">
        <v>45701</v>
      </c>
      <c r="D2337" t="s">
        <v>538</v>
      </c>
      <c r="E2337" t="s">
        <v>92</v>
      </c>
      <c r="F2337" t="s">
        <v>91</v>
      </c>
      <c r="G2337" s="2">
        <v>51.33</v>
      </c>
      <c r="H2337">
        <v>1077.25</v>
      </c>
      <c r="I2337">
        <v>4.7649106521234622E-2</v>
      </c>
      <c r="J2337">
        <v>51.33</v>
      </c>
    </row>
    <row r="2338" spans="1:10" hidden="1" x14ac:dyDescent="0.25">
      <c r="A2338" t="s">
        <v>533</v>
      </c>
      <c r="B2338" t="s">
        <v>88</v>
      </c>
      <c r="C2338" s="1">
        <v>45701</v>
      </c>
      <c r="D2338" t="s">
        <v>539</v>
      </c>
      <c r="E2338" t="s">
        <v>90</v>
      </c>
      <c r="F2338" t="s">
        <v>91</v>
      </c>
      <c r="G2338" s="2">
        <v>39795.1</v>
      </c>
      <c r="H2338">
        <v>1077.25</v>
      </c>
      <c r="I2338">
        <v>36.941378510095149</v>
      </c>
      <c r="J2338">
        <v>48152.08</v>
      </c>
    </row>
    <row r="2339" spans="1:10" hidden="1" x14ac:dyDescent="0.25">
      <c r="A2339" t="s">
        <v>533</v>
      </c>
      <c r="B2339" t="s">
        <v>88</v>
      </c>
      <c r="C2339" s="1">
        <v>45701</v>
      </c>
      <c r="D2339" t="s">
        <v>539</v>
      </c>
      <c r="E2339" t="s">
        <v>92</v>
      </c>
      <c r="F2339" t="s">
        <v>91</v>
      </c>
      <c r="G2339" s="2">
        <v>5197.87</v>
      </c>
      <c r="H2339">
        <v>1077.25</v>
      </c>
      <c r="I2339">
        <v>4.8251288001856576</v>
      </c>
      <c r="J2339">
        <v>5197.87</v>
      </c>
    </row>
    <row r="2340" spans="1:10" hidden="1" x14ac:dyDescent="0.25">
      <c r="A2340" t="s">
        <v>132</v>
      </c>
      <c r="B2340" t="s">
        <v>88</v>
      </c>
      <c r="C2340" s="1">
        <v>45700</v>
      </c>
      <c r="D2340" t="s">
        <v>137</v>
      </c>
      <c r="E2340" t="s">
        <v>138</v>
      </c>
      <c r="F2340" t="s">
        <v>139</v>
      </c>
      <c r="G2340" s="2">
        <v>8578.01</v>
      </c>
      <c r="H2340">
        <v>1076.25</v>
      </c>
      <c r="I2340">
        <v>7.9702764227642282</v>
      </c>
      <c r="J2340">
        <v>10379.39</v>
      </c>
    </row>
    <row r="2341" spans="1:10" hidden="1" x14ac:dyDescent="0.25">
      <c r="A2341" t="s">
        <v>161</v>
      </c>
      <c r="B2341" t="s">
        <v>88</v>
      </c>
      <c r="C2341" s="1">
        <v>45700</v>
      </c>
      <c r="D2341" t="s">
        <v>165</v>
      </c>
      <c r="E2341" t="s">
        <v>136</v>
      </c>
      <c r="F2341" t="s">
        <v>16</v>
      </c>
      <c r="G2341" s="2">
        <v>28890.6</v>
      </c>
      <c r="H2341">
        <v>1076.25</v>
      </c>
      <c r="I2341">
        <v>26.84376306620209</v>
      </c>
      <c r="J2341">
        <v>34959.24</v>
      </c>
    </row>
    <row r="2342" spans="1:10" hidden="1" x14ac:dyDescent="0.25">
      <c r="A2342" t="s">
        <v>161</v>
      </c>
      <c r="B2342" t="s">
        <v>88</v>
      </c>
      <c r="C2342" s="1">
        <v>45700</v>
      </c>
      <c r="D2342" t="s">
        <v>166</v>
      </c>
      <c r="E2342" t="s">
        <v>136</v>
      </c>
      <c r="F2342" t="s">
        <v>163</v>
      </c>
      <c r="G2342" s="2">
        <v>54983.6</v>
      </c>
      <c r="H2342">
        <v>1076.25</v>
      </c>
      <c r="I2342">
        <v>51.088130081300811</v>
      </c>
      <c r="J2342">
        <v>66529.08</v>
      </c>
    </row>
    <row r="2343" spans="1:10" hidden="1" x14ac:dyDescent="0.25">
      <c r="A2343" t="s">
        <v>300</v>
      </c>
      <c r="B2343" t="s">
        <v>88</v>
      </c>
      <c r="C2343" s="1">
        <v>45699</v>
      </c>
      <c r="D2343" t="s">
        <v>303</v>
      </c>
      <c r="E2343" t="s">
        <v>90</v>
      </c>
      <c r="F2343" t="s">
        <v>91</v>
      </c>
      <c r="G2343" s="2">
        <v>7500</v>
      </c>
      <c r="H2343">
        <v>1076</v>
      </c>
      <c r="I2343">
        <v>6.970260223048327</v>
      </c>
      <c r="J2343">
        <v>9075</v>
      </c>
    </row>
    <row r="2344" spans="1:10" hidden="1" x14ac:dyDescent="0.25">
      <c r="A2344" t="s">
        <v>466</v>
      </c>
      <c r="B2344" t="s">
        <v>88</v>
      </c>
      <c r="C2344" s="1">
        <v>45699</v>
      </c>
      <c r="D2344" t="s">
        <v>468</v>
      </c>
      <c r="E2344" t="s">
        <v>136</v>
      </c>
      <c r="F2344" t="s">
        <v>135</v>
      </c>
      <c r="G2344" s="2">
        <v>194513.45</v>
      </c>
      <c r="H2344">
        <v>1076</v>
      </c>
      <c r="I2344">
        <v>180.77458178438664</v>
      </c>
      <c r="J2344">
        <v>235361.27</v>
      </c>
    </row>
    <row r="2345" spans="1:10" hidden="1" x14ac:dyDescent="0.25">
      <c r="A2345" t="s">
        <v>112</v>
      </c>
      <c r="B2345" t="s">
        <v>88</v>
      </c>
      <c r="C2345" s="1">
        <v>45696</v>
      </c>
      <c r="D2345" t="s">
        <v>119</v>
      </c>
      <c r="E2345" t="s">
        <v>114</v>
      </c>
      <c r="F2345" t="s">
        <v>115</v>
      </c>
      <c r="G2345" s="2">
        <v>6471.02</v>
      </c>
      <c r="H2345">
        <v>1075.75</v>
      </c>
      <c r="I2345">
        <v>6.0153567278642814</v>
      </c>
      <c r="J2345">
        <v>7829.93</v>
      </c>
    </row>
    <row r="2346" spans="1:10" hidden="1" x14ac:dyDescent="0.25">
      <c r="A2346" t="s">
        <v>311</v>
      </c>
      <c r="B2346" t="s">
        <v>88</v>
      </c>
      <c r="C2346" s="1">
        <v>45695</v>
      </c>
      <c r="D2346" t="s">
        <v>312</v>
      </c>
      <c r="E2346" t="s">
        <v>136</v>
      </c>
      <c r="F2346" t="s">
        <v>18</v>
      </c>
      <c r="G2346" s="2">
        <v>28811.57</v>
      </c>
      <c r="H2346">
        <v>1075.75</v>
      </c>
      <c r="I2346">
        <v>26.782774808273299</v>
      </c>
      <c r="J2346">
        <v>34862</v>
      </c>
    </row>
    <row r="2347" spans="1:10" hidden="1" x14ac:dyDescent="0.25">
      <c r="A2347" t="s">
        <v>460</v>
      </c>
      <c r="B2347" t="s">
        <v>88</v>
      </c>
      <c r="C2347" s="1">
        <v>45695</v>
      </c>
      <c r="D2347" t="s">
        <v>463</v>
      </c>
      <c r="E2347" t="s">
        <v>90</v>
      </c>
      <c r="F2347" t="s">
        <v>91</v>
      </c>
      <c r="G2347" s="2">
        <v>52989.19</v>
      </c>
      <c r="H2347">
        <v>1075.75</v>
      </c>
      <c r="I2347">
        <v>49.257903788054847</v>
      </c>
      <c r="J2347">
        <v>64116.92</v>
      </c>
    </row>
    <row r="2348" spans="1:10" hidden="1" x14ac:dyDescent="0.25">
      <c r="A2348" t="s">
        <v>460</v>
      </c>
      <c r="B2348" t="s">
        <v>88</v>
      </c>
      <c r="C2348" s="1">
        <v>45695</v>
      </c>
      <c r="D2348" t="s">
        <v>463</v>
      </c>
      <c r="E2348" t="s">
        <v>92</v>
      </c>
      <c r="F2348" t="s">
        <v>91</v>
      </c>
      <c r="G2348" s="2">
        <v>7887.59</v>
      </c>
      <c r="H2348">
        <v>1075.75</v>
      </c>
      <c r="I2348">
        <v>7.3321775505461311</v>
      </c>
      <c r="J2348">
        <v>7887.59</v>
      </c>
    </row>
    <row r="2349" spans="1:10" hidden="1" x14ac:dyDescent="0.25">
      <c r="A2349" t="s">
        <v>501</v>
      </c>
      <c r="B2349" t="s">
        <v>88</v>
      </c>
      <c r="C2349" s="1">
        <v>45695</v>
      </c>
      <c r="D2349" t="s">
        <v>502</v>
      </c>
      <c r="E2349" t="s">
        <v>205</v>
      </c>
      <c r="F2349" t="s">
        <v>109</v>
      </c>
      <c r="G2349" s="2">
        <v>188931.36</v>
      </c>
      <c r="H2349">
        <v>1075.75</v>
      </c>
      <c r="I2349">
        <v>175.62757146177086</v>
      </c>
      <c r="J2349">
        <v>228606.95</v>
      </c>
    </row>
    <row r="2350" spans="1:10" hidden="1" x14ac:dyDescent="0.25">
      <c r="A2350" t="s">
        <v>552</v>
      </c>
      <c r="B2350" t="s">
        <v>88</v>
      </c>
      <c r="C2350" s="1">
        <v>45695</v>
      </c>
      <c r="D2350" t="s">
        <v>554</v>
      </c>
      <c r="E2350" t="s">
        <v>136</v>
      </c>
      <c r="F2350" t="s">
        <v>16</v>
      </c>
      <c r="G2350" s="2">
        <v>676059.3</v>
      </c>
      <c r="H2350">
        <v>1075.75</v>
      </c>
      <c r="I2350">
        <v>628.45391587264703</v>
      </c>
      <c r="J2350">
        <v>818036.05</v>
      </c>
    </row>
    <row r="2351" spans="1:10" hidden="1" x14ac:dyDescent="0.25">
      <c r="A2351" t="s">
        <v>281</v>
      </c>
      <c r="B2351" t="s">
        <v>88</v>
      </c>
      <c r="C2351" s="1">
        <v>45694</v>
      </c>
      <c r="D2351" t="s">
        <v>284</v>
      </c>
      <c r="E2351" t="s">
        <v>283</v>
      </c>
      <c r="F2351" t="s">
        <v>109</v>
      </c>
      <c r="G2351" s="2">
        <v>13991.74</v>
      </c>
      <c r="H2351">
        <v>1074.75</v>
      </c>
      <c r="I2351">
        <v>13.01859967434287</v>
      </c>
      <c r="J2351">
        <v>16930.009999999998</v>
      </c>
    </row>
    <row r="2352" spans="1:10" hidden="1" x14ac:dyDescent="0.25">
      <c r="A2352" t="s">
        <v>316</v>
      </c>
      <c r="B2352" t="s">
        <v>88</v>
      </c>
      <c r="C2352" s="1">
        <v>45694</v>
      </c>
      <c r="D2352" t="s">
        <v>317</v>
      </c>
      <c r="E2352" t="s">
        <v>136</v>
      </c>
      <c r="F2352" t="s">
        <v>18</v>
      </c>
      <c r="G2352" s="2">
        <v>15329.3</v>
      </c>
      <c r="H2352">
        <v>1074.75</v>
      </c>
      <c r="I2352">
        <v>14.263130960688532</v>
      </c>
      <c r="J2352">
        <v>18548.45</v>
      </c>
    </row>
    <row r="2353" spans="1:10" hidden="1" x14ac:dyDescent="0.25">
      <c r="A2353" t="s">
        <v>466</v>
      </c>
      <c r="B2353" t="s">
        <v>88</v>
      </c>
      <c r="C2353" s="1">
        <v>45694</v>
      </c>
      <c r="D2353" t="s">
        <v>467</v>
      </c>
      <c r="E2353" t="s">
        <v>136</v>
      </c>
      <c r="F2353" t="s">
        <v>135</v>
      </c>
      <c r="G2353" s="2">
        <v>144708.4</v>
      </c>
      <c r="H2353">
        <v>1074.75</v>
      </c>
      <c r="I2353">
        <v>134.64377762270294</v>
      </c>
      <c r="J2353">
        <v>175097.16</v>
      </c>
    </row>
    <row r="2354" spans="1:10" hidden="1" x14ac:dyDescent="0.25">
      <c r="A2354" t="s">
        <v>473</v>
      </c>
      <c r="B2354" t="s">
        <v>88</v>
      </c>
      <c r="C2354" s="1">
        <v>45694</v>
      </c>
      <c r="D2354" t="s">
        <v>474</v>
      </c>
      <c r="E2354" t="s">
        <v>152</v>
      </c>
      <c r="F2354" t="s">
        <v>475</v>
      </c>
      <c r="G2354" s="2">
        <v>1765716.18</v>
      </c>
      <c r="H2354">
        <v>1074.75</v>
      </c>
      <c r="I2354">
        <v>1642.9087508722957</v>
      </c>
      <c r="J2354">
        <v>2136516.5699999998</v>
      </c>
    </row>
    <row r="2355" spans="1:10" hidden="1" x14ac:dyDescent="0.25">
      <c r="A2355" t="s">
        <v>473</v>
      </c>
      <c r="B2355" t="s">
        <v>88</v>
      </c>
      <c r="C2355" s="1">
        <v>45694</v>
      </c>
      <c r="D2355" t="s">
        <v>474</v>
      </c>
      <c r="E2355" t="s">
        <v>153</v>
      </c>
      <c r="F2355" t="s">
        <v>475</v>
      </c>
      <c r="G2355" s="2">
        <v>38845.800000000003</v>
      </c>
      <c r="H2355">
        <v>1074.75</v>
      </c>
      <c r="I2355">
        <v>36.144033496161903</v>
      </c>
      <c r="J2355">
        <v>38845.800000000003</v>
      </c>
    </row>
    <row r="2356" spans="1:10" hidden="1" x14ac:dyDescent="0.25">
      <c r="A2356" t="s">
        <v>473</v>
      </c>
      <c r="B2356" t="s">
        <v>88</v>
      </c>
      <c r="C2356" s="1">
        <v>45694</v>
      </c>
      <c r="D2356" t="s">
        <v>474</v>
      </c>
      <c r="E2356" t="s">
        <v>476</v>
      </c>
      <c r="F2356" t="s">
        <v>475</v>
      </c>
      <c r="G2356" s="2">
        <v>26740</v>
      </c>
      <c r="H2356">
        <v>1074.75</v>
      </c>
      <c r="I2356">
        <v>24.880204698767155</v>
      </c>
      <c r="J2356">
        <v>26740</v>
      </c>
    </row>
    <row r="2357" spans="1:10" hidden="1" x14ac:dyDescent="0.25">
      <c r="A2357" t="s">
        <v>515</v>
      </c>
      <c r="B2357" t="s">
        <v>88</v>
      </c>
      <c r="C2357" s="1">
        <v>45694</v>
      </c>
      <c r="D2357" t="s">
        <v>516</v>
      </c>
      <c r="E2357" t="s">
        <v>184</v>
      </c>
      <c r="F2357" t="s">
        <v>188</v>
      </c>
      <c r="G2357" s="2">
        <v>21131.82</v>
      </c>
      <c r="H2357">
        <v>1074.75</v>
      </c>
      <c r="I2357">
        <v>19.662079553384508</v>
      </c>
      <c r="J2357">
        <v>25569.5</v>
      </c>
    </row>
    <row r="2358" spans="1:10" hidden="1" x14ac:dyDescent="0.25">
      <c r="A2358" t="s">
        <v>533</v>
      </c>
      <c r="B2358" t="s">
        <v>88</v>
      </c>
      <c r="C2358" s="1">
        <v>45694</v>
      </c>
      <c r="D2358" t="s">
        <v>534</v>
      </c>
      <c r="E2358" t="s">
        <v>90</v>
      </c>
      <c r="F2358" t="s">
        <v>91</v>
      </c>
      <c r="G2358" s="2">
        <v>57993.04</v>
      </c>
      <c r="H2358">
        <v>1074.75</v>
      </c>
      <c r="I2358">
        <v>53.959562688997444</v>
      </c>
      <c r="J2358">
        <v>70171.58</v>
      </c>
    </row>
    <row r="2359" spans="1:10" hidden="1" x14ac:dyDescent="0.25">
      <c r="A2359" t="s">
        <v>533</v>
      </c>
      <c r="B2359" t="s">
        <v>88</v>
      </c>
      <c r="C2359" s="1">
        <v>45694</v>
      </c>
      <c r="D2359" t="s">
        <v>534</v>
      </c>
      <c r="E2359" t="s">
        <v>92</v>
      </c>
      <c r="F2359" t="s">
        <v>91</v>
      </c>
      <c r="G2359" s="2">
        <v>8829.42</v>
      </c>
      <c r="H2359">
        <v>1074.75</v>
      </c>
      <c r="I2359">
        <v>8.2153244940683887</v>
      </c>
      <c r="J2359">
        <v>8829.42</v>
      </c>
    </row>
    <row r="2360" spans="1:10" hidden="1" x14ac:dyDescent="0.25">
      <c r="A2360" t="s">
        <v>533</v>
      </c>
      <c r="B2360" t="s">
        <v>88</v>
      </c>
      <c r="C2360" s="1">
        <v>45694</v>
      </c>
      <c r="D2360" t="s">
        <v>535</v>
      </c>
      <c r="E2360" t="s">
        <v>90</v>
      </c>
      <c r="F2360" t="s">
        <v>91</v>
      </c>
      <c r="G2360" s="2">
        <v>10275.959999999999</v>
      </c>
      <c r="H2360">
        <v>1074.75</v>
      </c>
      <c r="I2360">
        <v>9.5612561060711787</v>
      </c>
      <c r="J2360">
        <v>12433.92</v>
      </c>
    </row>
    <row r="2361" spans="1:10" hidden="1" x14ac:dyDescent="0.25">
      <c r="A2361" t="s">
        <v>533</v>
      </c>
      <c r="B2361" t="s">
        <v>88</v>
      </c>
      <c r="C2361" s="1">
        <v>45694</v>
      </c>
      <c r="D2361" t="s">
        <v>535</v>
      </c>
      <c r="E2361" t="s">
        <v>92</v>
      </c>
      <c r="F2361" t="s">
        <v>91</v>
      </c>
      <c r="G2361" s="2">
        <v>66.08</v>
      </c>
      <c r="H2361">
        <v>1074.75</v>
      </c>
      <c r="I2361">
        <v>6.1484066061874856E-2</v>
      </c>
      <c r="J2361">
        <v>66.08</v>
      </c>
    </row>
    <row r="2362" spans="1:10" hidden="1" x14ac:dyDescent="0.25">
      <c r="A2362" t="s">
        <v>175</v>
      </c>
      <c r="B2362" t="s">
        <v>88</v>
      </c>
      <c r="C2362" s="1">
        <v>45693</v>
      </c>
      <c r="D2362" t="s">
        <v>176</v>
      </c>
      <c r="E2362" t="s">
        <v>177</v>
      </c>
      <c r="F2362" t="s">
        <v>109</v>
      </c>
      <c r="G2362" s="2">
        <v>13478.55</v>
      </c>
      <c r="H2362">
        <v>1074.5</v>
      </c>
      <c r="I2362">
        <v>12.544020474639366</v>
      </c>
      <c r="J2362">
        <v>17117.759999999998</v>
      </c>
    </row>
    <row r="2363" spans="1:10" hidden="1" x14ac:dyDescent="0.25">
      <c r="A2363" t="s">
        <v>246</v>
      </c>
      <c r="B2363" t="s">
        <v>88</v>
      </c>
      <c r="C2363" s="1">
        <v>45693</v>
      </c>
      <c r="D2363" t="s">
        <v>247</v>
      </c>
      <c r="E2363" t="s">
        <v>114</v>
      </c>
      <c r="F2363" t="s">
        <v>115</v>
      </c>
      <c r="G2363" s="2">
        <v>3951.93</v>
      </c>
      <c r="H2363">
        <v>1074.5</v>
      </c>
      <c r="I2363">
        <v>3.6779246161005119</v>
      </c>
      <c r="J2363">
        <v>4781.84</v>
      </c>
    </row>
    <row r="2364" spans="1:10" hidden="1" x14ac:dyDescent="0.25">
      <c r="A2364" t="s">
        <v>405</v>
      </c>
      <c r="B2364" t="s">
        <v>88</v>
      </c>
      <c r="C2364" s="1">
        <v>45693</v>
      </c>
      <c r="D2364" t="s">
        <v>406</v>
      </c>
      <c r="E2364" t="s">
        <v>407</v>
      </c>
      <c r="F2364" t="s">
        <v>239</v>
      </c>
      <c r="G2364" s="2">
        <v>23880.66</v>
      </c>
      <c r="H2364">
        <v>1074.5</v>
      </c>
      <c r="I2364">
        <v>22.224904606793856</v>
      </c>
      <c r="J2364">
        <v>26388.13</v>
      </c>
    </row>
    <row r="2365" spans="1:10" hidden="1" x14ac:dyDescent="0.25">
      <c r="A2365" t="s">
        <v>405</v>
      </c>
      <c r="B2365" t="s">
        <v>88</v>
      </c>
      <c r="C2365" s="1">
        <v>45693</v>
      </c>
      <c r="D2365" t="s">
        <v>406</v>
      </c>
      <c r="E2365" t="s">
        <v>218</v>
      </c>
      <c r="F2365" t="s">
        <v>239</v>
      </c>
      <c r="G2365" s="2">
        <v>6413.19</v>
      </c>
      <c r="H2365">
        <v>1074.5</v>
      </c>
      <c r="I2365">
        <v>5.9685342019543972</v>
      </c>
      <c r="J2365">
        <v>7759.96</v>
      </c>
    </row>
    <row r="2366" spans="1:10" hidden="1" x14ac:dyDescent="0.25">
      <c r="A2366" t="s">
        <v>381</v>
      </c>
      <c r="B2366" t="s">
        <v>88</v>
      </c>
      <c r="C2366" s="1">
        <v>45692</v>
      </c>
      <c r="D2366" t="s">
        <v>382</v>
      </c>
      <c r="E2366" t="s">
        <v>136</v>
      </c>
      <c r="F2366" t="s">
        <v>18</v>
      </c>
      <c r="G2366" s="2">
        <v>27206.34</v>
      </c>
      <c r="H2366">
        <v>1074.5</v>
      </c>
      <c r="I2366">
        <v>25.32</v>
      </c>
      <c r="J2366">
        <v>32922.68</v>
      </c>
    </row>
    <row r="2367" spans="1:10" hidden="1" x14ac:dyDescent="0.25">
      <c r="A2367" t="s">
        <v>389</v>
      </c>
      <c r="B2367" t="s">
        <v>88</v>
      </c>
      <c r="C2367" s="1">
        <v>45692</v>
      </c>
      <c r="D2367" t="s">
        <v>390</v>
      </c>
      <c r="E2367" t="s">
        <v>136</v>
      </c>
      <c r="F2367" t="s">
        <v>18</v>
      </c>
      <c r="G2367" s="2">
        <v>118076</v>
      </c>
      <c r="H2367">
        <v>1074.5</v>
      </c>
      <c r="I2367">
        <v>109.88925081433224</v>
      </c>
      <c r="J2367">
        <v>142871.96</v>
      </c>
    </row>
    <row r="2368" spans="1:10" hidden="1" x14ac:dyDescent="0.25">
      <c r="A2368" t="s">
        <v>455</v>
      </c>
      <c r="B2368" t="s">
        <v>88</v>
      </c>
      <c r="C2368" s="1">
        <v>45692</v>
      </c>
      <c r="D2368" t="s">
        <v>456</v>
      </c>
      <c r="E2368" t="s">
        <v>136</v>
      </c>
      <c r="F2368" t="s">
        <v>18</v>
      </c>
      <c r="G2368" s="2">
        <v>225571.88</v>
      </c>
      <c r="H2368">
        <v>1074.5</v>
      </c>
      <c r="I2368">
        <v>209.93194974406703</v>
      </c>
      <c r="J2368">
        <v>272941.96999999997</v>
      </c>
    </row>
    <row r="2369" spans="1:10" hidden="1" x14ac:dyDescent="0.25">
      <c r="A2369" t="s">
        <v>512</v>
      </c>
      <c r="B2369" t="s">
        <v>88</v>
      </c>
      <c r="C2369" s="1">
        <v>45692</v>
      </c>
      <c r="D2369" t="s">
        <v>513</v>
      </c>
      <c r="E2369" t="s">
        <v>136</v>
      </c>
      <c r="F2369" t="s">
        <v>18</v>
      </c>
      <c r="G2369" s="2">
        <v>105276.5</v>
      </c>
      <c r="H2369">
        <v>1074.5</v>
      </c>
      <c r="I2369">
        <v>97.977198697068403</v>
      </c>
      <c r="J2369">
        <v>127384.57</v>
      </c>
    </row>
    <row r="2370" spans="1:10" hidden="1" x14ac:dyDescent="0.25">
      <c r="A2370" t="s">
        <v>106</v>
      </c>
      <c r="B2370" t="s">
        <v>88</v>
      </c>
      <c r="C2370" s="1">
        <v>45691</v>
      </c>
      <c r="D2370" t="s">
        <v>110</v>
      </c>
      <c r="E2370" t="s">
        <v>102</v>
      </c>
      <c r="F2370" t="s">
        <v>109</v>
      </c>
      <c r="G2370" s="2">
        <v>42534</v>
      </c>
      <c r="H2370">
        <v>1074.25</v>
      </c>
      <c r="I2370">
        <v>39.594135443332554</v>
      </c>
      <c r="J2370">
        <v>42534</v>
      </c>
    </row>
    <row r="2371" spans="1:10" hidden="1" x14ac:dyDescent="0.25">
      <c r="A2371" t="s">
        <v>309</v>
      </c>
      <c r="B2371" t="s">
        <v>88</v>
      </c>
      <c r="C2371" s="1">
        <v>45691</v>
      </c>
      <c r="D2371" t="s">
        <v>310</v>
      </c>
      <c r="E2371" t="s">
        <v>218</v>
      </c>
      <c r="F2371" t="s">
        <v>239</v>
      </c>
      <c r="G2371" s="2">
        <v>37355.360000000001</v>
      </c>
      <c r="H2371">
        <v>1074.25</v>
      </c>
      <c r="I2371">
        <v>34.773432627414479</v>
      </c>
      <c r="J2371">
        <v>45200</v>
      </c>
    </row>
    <row r="2372" spans="1:10" hidden="1" x14ac:dyDescent="0.25">
      <c r="A2372" t="s">
        <v>374</v>
      </c>
      <c r="B2372" t="s">
        <v>88</v>
      </c>
      <c r="C2372" s="1">
        <v>45691</v>
      </c>
      <c r="D2372" t="s">
        <v>377</v>
      </c>
      <c r="E2372" t="s">
        <v>376</v>
      </c>
      <c r="F2372" t="s">
        <v>109</v>
      </c>
      <c r="G2372" s="2">
        <v>18181.82</v>
      </c>
      <c r="H2372">
        <v>1074.25</v>
      </c>
      <c r="I2372">
        <v>16.925129159878985</v>
      </c>
      <c r="J2372">
        <v>22000</v>
      </c>
    </row>
    <row r="2373" spans="1:10" hidden="1" x14ac:dyDescent="0.25">
      <c r="A2373" t="s">
        <v>383</v>
      </c>
      <c r="B2373" t="s">
        <v>88</v>
      </c>
      <c r="C2373" s="1">
        <v>45691</v>
      </c>
      <c r="D2373" t="s">
        <v>386</v>
      </c>
      <c r="E2373" t="s">
        <v>136</v>
      </c>
      <c r="F2373" t="s">
        <v>135</v>
      </c>
      <c r="G2373" s="2">
        <v>34186.76</v>
      </c>
      <c r="H2373">
        <v>1074.25</v>
      </c>
      <c r="I2373">
        <v>31.82383988829416</v>
      </c>
      <c r="J2373">
        <v>41365.980000000003</v>
      </c>
    </row>
    <row r="2374" spans="1:10" hidden="1" x14ac:dyDescent="0.25">
      <c r="A2374" t="s">
        <v>420</v>
      </c>
      <c r="B2374" t="s">
        <v>88</v>
      </c>
      <c r="C2374" s="1">
        <v>45691</v>
      </c>
      <c r="D2374" t="s">
        <v>424</v>
      </c>
      <c r="E2374" t="s">
        <v>422</v>
      </c>
      <c r="F2374" t="s">
        <v>109</v>
      </c>
      <c r="G2374" s="2">
        <v>78327</v>
      </c>
      <c r="H2374">
        <v>1074.25</v>
      </c>
      <c r="I2374">
        <v>72.913195252501751</v>
      </c>
      <c r="J2374">
        <v>94775.67</v>
      </c>
    </row>
    <row r="2375" spans="1:10" hidden="1" x14ac:dyDescent="0.25">
      <c r="A2375" t="s">
        <v>426</v>
      </c>
      <c r="B2375" t="s">
        <v>88</v>
      </c>
      <c r="C2375" s="1">
        <v>45691</v>
      </c>
      <c r="D2375" t="s">
        <v>428</v>
      </c>
      <c r="E2375" t="s">
        <v>136</v>
      </c>
      <c r="F2375" t="s">
        <v>18</v>
      </c>
      <c r="G2375" s="2">
        <v>1661688.82</v>
      </c>
      <c r="H2375">
        <v>1074.25</v>
      </c>
      <c r="I2375">
        <v>1546.8362299278567</v>
      </c>
      <c r="J2375">
        <v>2010643.47</v>
      </c>
    </row>
    <row r="2376" spans="1:10" hidden="1" x14ac:dyDescent="0.25">
      <c r="A2376" t="s">
        <v>443</v>
      </c>
      <c r="B2376" t="s">
        <v>88</v>
      </c>
      <c r="C2376" s="1">
        <v>45691</v>
      </c>
      <c r="D2376" t="s">
        <v>444</v>
      </c>
      <c r="E2376" t="s">
        <v>90</v>
      </c>
      <c r="F2376" t="s">
        <v>91</v>
      </c>
      <c r="G2376" s="2">
        <v>53235.7</v>
      </c>
      <c r="H2376">
        <v>1074.25</v>
      </c>
      <c r="I2376">
        <v>49.556155457295787</v>
      </c>
      <c r="J2376">
        <v>64415.199999999997</v>
      </c>
    </row>
    <row r="2377" spans="1:10" hidden="1" x14ac:dyDescent="0.25">
      <c r="A2377" t="s">
        <v>443</v>
      </c>
      <c r="B2377" t="s">
        <v>88</v>
      </c>
      <c r="C2377" s="1">
        <v>45691</v>
      </c>
      <c r="D2377" t="s">
        <v>444</v>
      </c>
      <c r="E2377" t="s">
        <v>92</v>
      </c>
      <c r="F2377" t="s">
        <v>91</v>
      </c>
      <c r="G2377" s="2">
        <v>8588.82</v>
      </c>
      <c r="H2377">
        <v>1074.25</v>
      </c>
      <c r="I2377">
        <v>7.9951780311845475</v>
      </c>
      <c r="J2377">
        <v>8588.82</v>
      </c>
    </row>
    <row r="2378" spans="1:10" hidden="1" x14ac:dyDescent="0.25">
      <c r="A2378" t="s">
        <v>460</v>
      </c>
      <c r="B2378" t="s">
        <v>88</v>
      </c>
      <c r="C2378" s="1">
        <v>45690</v>
      </c>
      <c r="D2378" t="s">
        <v>461</v>
      </c>
      <c r="E2378" t="s">
        <v>90</v>
      </c>
      <c r="F2378" t="s">
        <v>91</v>
      </c>
      <c r="G2378" s="2">
        <v>67013.05</v>
      </c>
      <c r="H2378">
        <v>1073.5</v>
      </c>
      <c r="I2378">
        <v>62.424825337680488</v>
      </c>
      <c r="J2378">
        <v>81085.789999999994</v>
      </c>
    </row>
    <row r="2379" spans="1:10" hidden="1" x14ac:dyDescent="0.25">
      <c r="A2379" t="s">
        <v>460</v>
      </c>
      <c r="B2379" t="s">
        <v>88</v>
      </c>
      <c r="C2379" s="1">
        <v>45690</v>
      </c>
      <c r="D2379" t="s">
        <v>461</v>
      </c>
      <c r="E2379" t="s">
        <v>92</v>
      </c>
      <c r="F2379" t="s">
        <v>91</v>
      </c>
      <c r="G2379" s="2">
        <v>9975.08</v>
      </c>
      <c r="H2379">
        <v>1073.5</v>
      </c>
      <c r="I2379">
        <v>9.2921099208197493</v>
      </c>
      <c r="J2379">
        <v>9975.08</v>
      </c>
    </row>
    <row r="2380" spans="1:10" hidden="1" x14ac:dyDescent="0.25">
      <c r="A2380" t="s">
        <v>265</v>
      </c>
      <c r="B2380" t="s">
        <v>88</v>
      </c>
      <c r="C2380" s="1">
        <v>45689</v>
      </c>
      <c r="D2380" t="s">
        <v>266</v>
      </c>
      <c r="E2380" t="s">
        <v>267</v>
      </c>
      <c r="F2380" t="s">
        <v>109</v>
      </c>
      <c r="G2380" s="2">
        <v>80800</v>
      </c>
      <c r="H2380">
        <v>1073.5</v>
      </c>
      <c r="I2380">
        <v>75.267815556590591</v>
      </c>
      <c r="J2380">
        <v>97768</v>
      </c>
    </row>
    <row r="2381" spans="1:10" hidden="1" x14ac:dyDescent="0.25">
      <c r="A2381" t="s">
        <v>275</v>
      </c>
      <c r="B2381" t="s">
        <v>88</v>
      </c>
      <c r="C2381" s="1">
        <v>45689</v>
      </c>
      <c r="D2381" t="s">
        <v>276</v>
      </c>
      <c r="E2381" t="s">
        <v>90</v>
      </c>
      <c r="F2381" t="s">
        <v>91</v>
      </c>
      <c r="G2381" s="2">
        <v>830559.99</v>
      </c>
      <c r="H2381">
        <v>1073.5</v>
      </c>
      <c r="I2381">
        <v>773.6935165346996</v>
      </c>
      <c r="J2381">
        <v>1004977.6</v>
      </c>
    </row>
    <row r="2382" spans="1:10" hidden="1" x14ac:dyDescent="0.25">
      <c r="A2382" t="s">
        <v>275</v>
      </c>
      <c r="B2382" t="s">
        <v>88</v>
      </c>
      <c r="C2382" s="1">
        <v>45689</v>
      </c>
      <c r="D2382" t="s">
        <v>276</v>
      </c>
      <c r="E2382" t="s">
        <v>92</v>
      </c>
      <c r="F2382" t="s">
        <v>91</v>
      </c>
      <c r="G2382" s="2">
        <v>136959.65</v>
      </c>
      <c r="H2382">
        <v>1073.5</v>
      </c>
      <c r="I2382">
        <v>127.58234746157429</v>
      </c>
      <c r="J2382">
        <v>136959.65</v>
      </c>
    </row>
    <row r="2383" spans="1:10" hidden="1" x14ac:dyDescent="0.25">
      <c r="A2383" t="s">
        <v>353</v>
      </c>
      <c r="B2383" t="s">
        <v>88</v>
      </c>
      <c r="C2383" s="1">
        <v>45689</v>
      </c>
      <c r="D2383" t="s">
        <v>355</v>
      </c>
      <c r="E2383" t="s">
        <v>114</v>
      </c>
      <c r="F2383" t="s">
        <v>115</v>
      </c>
      <c r="G2383" s="2">
        <v>14790.89</v>
      </c>
      <c r="H2383">
        <v>1073.5</v>
      </c>
      <c r="I2383">
        <v>13.778192827200744</v>
      </c>
      <c r="J2383">
        <v>17896.98</v>
      </c>
    </row>
    <row r="2384" spans="1:10" hidden="1" x14ac:dyDescent="0.25">
      <c r="A2384" t="s">
        <v>364</v>
      </c>
      <c r="B2384" t="s">
        <v>88</v>
      </c>
      <c r="C2384" s="1">
        <v>45689</v>
      </c>
      <c r="D2384" t="s">
        <v>365</v>
      </c>
      <c r="E2384" t="s">
        <v>102</v>
      </c>
      <c r="F2384" t="s">
        <v>109</v>
      </c>
      <c r="G2384" s="2">
        <v>9000</v>
      </c>
      <c r="H2384">
        <v>1073.5</v>
      </c>
      <c r="I2384">
        <v>8.3837913367489527</v>
      </c>
      <c r="J2384">
        <v>9000</v>
      </c>
    </row>
    <row r="2385" spans="1:10" hidden="1" x14ac:dyDescent="0.25">
      <c r="A2385" t="s">
        <v>478</v>
      </c>
      <c r="B2385" t="s">
        <v>88</v>
      </c>
      <c r="C2385" s="1">
        <v>45689</v>
      </c>
      <c r="D2385" t="s">
        <v>479</v>
      </c>
      <c r="E2385" t="s">
        <v>267</v>
      </c>
      <c r="F2385" t="s">
        <v>109</v>
      </c>
      <c r="G2385" s="2">
        <v>16224.79</v>
      </c>
      <c r="H2385">
        <v>1073.5</v>
      </c>
      <c r="I2385">
        <v>15.113917093619005</v>
      </c>
      <c r="J2385">
        <v>19632</v>
      </c>
    </row>
    <row r="2386" spans="1:10" hidden="1" x14ac:dyDescent="0.25">
      <c r="A2386" t="s">
        <v>125</v>
      </c>
      <c r="B2386" t="s">
        <v>88</v>
      </c>
      <c r="C2386" s="1">
        <v>45688</v>
      </c>
      <c r="D2386" t="s">
        <v>130</v>
      </c>
      <c r="E2386" t="s">
        <v>114</v>
      </c>
      <c r="F2386" t="s">
        <v>115</v>
      </c>
      <c r="G2386" s="2">
        <v>8001.4</v>
      </c>
      <c r="H2386">
        <v>1073.5</v>
      </c>
      <c r="I2386">
        <v>7.4535631113181182</v>
      </c>
      <c r="J2386">
        <v>9681.69</v>
      </c>
    </row>
    <row r="2387" spans="1:10" hidden="1" x14ac:dyDescent="0.25">
      <c r="A2387" t="s">
        <v>125</v>
      </c>
      <c r="B2387" t="s">
        <v>88</v>
      </c>
      <c r="C2387" s="1">
        <v>45688</v>
      </c>
      <c r="D2387" t="s">
        <v>130</v>
      </c>
      <c r="E2387" t="s">
        <v>127</v>
      </c>
      <c r="F2387" t="s">
        <v>115</v>
      </c>
      <c r="G2387" s="2">
        <v>800.17</v>
      </c>
      <c r="H2387">
        <v>1073.5</v>
      </c>
      <c r="I2387">
        <v>0.74538425710293432</v>
      </c>
      <c r="J2387">
        <v>800.17</v>
      </c>
    </row>
    <row r="2388" spans="1:10" hidden="1" x14ac:dyDescent="0.25">
      <c r="A2388" t="s">
        <v>156</v>
      </c>
      <c r="B2388" t="s">
        <v>96</v>
      </c>
      <c r="C2388" s="1">
        <v>45688</v>
      </c>
      <c r="D2388" t="s">
        <v>160</v>
      </c>
      <c r="E2388" t="s">
        <v>158</v>
      </c>
      <c r="F2388" t="s">
        <v>159</v>
      </c>
      <c r="G2388" s="2">
        <v>210157.48</v>
      </c>
      <c r="H2388">
        <v>1073.5</v>
      </c>
      <c r="I2388">
        <v>195.76849557522124</v>
      </c>
      <c r="J2388">
        <v>210157.48</v>
      </c>
    </row>
    <row r="2389" spans="1:10" hidden="1" x14ac:dyDescent="0.25">
      <c r="A2389" t="s">
        <v>161</v>
      </c>
      <c r="B2389" t="s">
        <v>88</v>
      </c>
      <c r="C2389" s="1">
        <v>45688</v>
      </c>
      <c r="D2389" t="s">
        <v>169</v>
      </c>
      <c r="E2389" t="s">
        <v>136</v>
      </c>
      <c r="F2389" t="s">
        <v>163</v>
      </c>
      <c r="G2389" s="2">
        <v>1450458.88</v>
      </c>
      <c r="H2389">
        <v>1073.5</v>
      </c>
      <c r="I2389">
        <v>1351.1493991616207</v>
      </c>
      <c r="J2389">
        <v>1755055.24</v>
      </c>
    </row>
    <row r="2390" spans="1:10" hidden="1" x14ac:dyDescent="0.25">
      <c r="A2390" t="s">
        <v>240</v>
      </c>
      <c r="B2390" t="s">
        <v>88</v>
      </c>
      <c r="C2390" s="1">
        <v>45688</v>
      </c>
      <c r="D2390" t="s">
        <v>244</v>
      </c>
      <c r="E2390" t="s">
        <v>114</v>
      </c>
      <c r="F2390" t="s">
        <v>115</v>
      </c>
      <c r="G2390" s="2">
        <v>5960.33</v>
      </c>
      <c r="H2390">
        <v>1073.5</v>
      </c>
      <c r="I2390">
        <v>5.5522403353516534</v>
      </c>
      <c r="J2390">
        <v>7212</v>
      </c>
    </row>
    <row r="2391" spans="1:10" hidden="1" x14ac:dyDescent="0.25">
      <c r="A2391" t="s">
        <v>300</v>
      </c>
      <c r="B2391" t="s">
        <v>88</v>
      </c>
      <c r="C2391" s="1">
        <v>45688</v>
      </c>
      <c r="D2391" t="s">
        <v>307</v>
      </c>
      <c r="E2391" t="s">
        <v>90</v>
      </c>
      <c r="F2391" t="s">
        <v>91</v>
      </c>
      <c r="G2391" s="2">
        <v>326590.57</v>
      </c>
      <c r="H2391">
        <v>1073.5</v>
      </c>
      <c r="I2391">
        <v>304.22968793665581</v>
      </c>
      <c r="J2391">
        <v>395174.59</v>
      </c>
    </row>
    <row r="2392" spans="1:10" hidden="1" x14ac:dyDescent="0.25">
      <c r="A2392" t="s">
        <v>300</v>
      </c>
      <c r="B2392" t="s">
        <v>88</v>
      </c>
      <c r="C2392" s="1">
        <v>45688</v>
      </c>
      <c r="D2392" t="s">
        <v>307</v>
      </c>
      <c r="E2392" t="s">
        <v>92</v>
      </c>
      <c r="F2392" t="s">
        <v>91</v>
      </c>
      <c r="G2392" s="2">
        <v>61871.76</v>
      </c>
      <c r="H2392">
        <v>1073.5</v>
      </c>
      <c r="I2392">
        <v>57.635547275267818</v>
      </c>
      <c r="J2392">
        <v>61871.76</v>
      </c>
    </row>
    <row r="2393" spans="1:10" hidden="1" x14ac:dyDescent="0.25">
      <c r="A2393" t="s">
        <v>349</v>
      </c>
      <c r="B2393" t="s">
        <v>88</v>
      </c>
      <c r="C2393" s="1">
        <v>45688</v>
      </c>
      <c r="D2393" t="s">
        <v>351</v>
      </c>
      <c r="E2393" t="s">
        <v>102</v>
      </c>
      <c r="F2393" t="s">
        <v>109</v>
      </c>
      <c r="G2393" s="2">
        <v>125042.4</v>
      </c>
      <c r="H2393">
        <v>1073.5</v>
      </c>
      <c r="I2393">
        <v>116.48104331625524</v>
      </c>
      <c r="J2393">
        <v>125042.4</v>
      </c>
    </row>
    <row r="2394" spans="1:10" hidden="1" x14ac:dyDescent="0.25">
      <c r="A2394" t="s">
        <v>438</v>
      </c>
      <c r="B2394" t="s">
        <v>88</v>
      </c>
      <c r="C2394" s="1">
        <v>45688</v>
      </c>
      <c r="D2394" t="s">
        <v>442</v>
      </c>
      <c r="E2394" t="s">
        <v>440</v>
      </c>
      <c r="F2394" t="s">
        <v>271</v>
      </c>
      <c r="G2394" s="2">
        <v>96000</v>
      </c>
      <c r="H2394">
        <v>1073.5</v>
      </c>
      <c r="I2394">
        <v>89.427107591988815</v>
      </c>
      <c r="J2394">
        <v>96000</v>
      </c>
    </row>
    <row r="2395" spans="1:10" hidden="1" x14ac:dyDescent="0.25">
      <c r="A2395" t="s">
        <v>443</v>
      </c>
      <c r="B2395" t="s">
        <v>88</v>
      </c>
      <c r="C2395" s="1">
        <v>45688</v>
      </c>
      <c r="D2395" t="s">
        <v>452</v>
      </c>
      <c r="E2395" t="s">
        <v>90</v>
      </c>
      <c r="F2395" t="s">
        <v>91</v>
      </c>
      <c r="G2395" s="2">
        <v>35688.839999999997</v>
      </c>
      <c r="H2395">
        <v>1073.5</v>
      </c>
      <c r="I2395">
        <v>33.24530973451327</v>
      </c>
      <c r="J2395">
        <v>43183.5</v>
      </c>
    </row>
    <row r="2396" spans="1:10" hidden="1" x14ac:dyDescent="0.25">
      <c r="A2396" t="s">
        <v>443</v>
      </c>
      <c r="B2396" t="s">
        <v>88</v>
      </c>
      <c r="C2396" s="1">
        <v>45688</v>
      </c>
      <c r="D2396" t="s">
        <v>452</v>
      </c>
      <c r="E2396" t="s">
        <v>92</v>
      </c>
      <c r="F2396" t="s">
        <v>91</v>
      </c>
      <c r="G2396" s="2">
        <v>6816.56</v>
      </c>
      <c r="H2396">
        <v>1073.5</v>
      </c>
      <c r="I2396">
        <v>6.3498462971588268</v>
      </c>
      <c r="J2396">
        <v>6816.56</v>
      </c>
    </row>
    <row r="2397" spans="1:10" hidden="1" x14ac:dyDescent="0.25">
      <c r="A2397" t="s">
        <v>510</v>
      </c>
      <c r="B2397" t="s">
        <v>96</v>
      </c>
      <c r="C2397" s="1">
        <v>45688</v>
      </c>
      <c r="D2397" t="s">
        <v>160</v>
      </c>
      <c r="E2397" t="s">
        <v>127</v>
      </c>
      <c r="F2397" t="s">
        <v>115</v>
      </c>
      <c r="G2397" s="2">
        <v>212.28</v>
      </c>
      <c r="H2397">
        <v>1073.5</v>
      </c>
      <c r="I2397">
        <v>0.19774569166278527</v>
      </c>
      <c r="J2397">
        <v>212.28</v>
      </c>
    </row>
    <row r="2398" spans="1:10" hidden="1" x14ac:dyDescent="0.25">
      <c r="A2398" t="s">
        <v>521</v>
      </c>
      <c r="B2398" t="s">
        <v>88</v>
      </c>
      <c r="C2398" s="1">
        <v>45688</v>
      </c>
      <c r="D2398" t="s">
        <v>523</v>
      </c>
      <c r="E2398" t="s">
        <v>524</v>
      </c>
      <c r="F2398" t="s">
        <v>142</v>
      </c>
      <c r="G2398" s="2">
        <v>26780</v>
      </c>
      <c r="H2398">
        <v>1073.5</v>
      </c>
      <c r="I2398">
        <v>24.94643688868188</v>
      </c>
      <c r="J2398">
        <v>32403.8</v>
      </c>
    </row>
    <row r="2399" spans="1:10" hidden="1" x14ac:dyDescent="0.25">
      <c r="A2399" t="s">
        <v>182</v>
      </c>
      <c r="B2399" t="s">
        <v>88</v>
      </c>
      <c r="C2399" s="1">
        <v>45687</v>
      </c>
      <c r="D2399" t="s">
        <v>198</v>
      </c>
      <c r="E2399" t="s">
        <v>184</v>
      </c>
      <c r="F2399" t="s">
        <v>85</v>
      </c>
      <c r="G2399" s="2">
        <v>280000</v>
      </c>
      <c r="H2399">
        <v>1072</v>
      </c>
      <c r="I2399">
        <v>261.19402985074629</v>
      </c>
      <c r="J2399">
        <v>338800</v>
      </c>
    </row>
    <row r="2400" spans="1:10" hidden="1" x14ac:dyDescent="0.25">
      <c r="A2400" t="s">
        <v>453</v>
      </c>
      <c r="B2400" t="s">
        <v>88</v>
      </c>
      <c r="C2400" s="1">
        <v>45687</v>
      </c>
      <c r="D2400" t="s">
        <v>454</v>
      </c>
      <c r="E2400" t="s">
        <v>136</v>
      </c>
      <c r="F2400" t="s">
        <v>196</v>
      </c>
      <c r="G2400" s="2">
        <v>135848.70000000001</v>
      </c>
      <c r="H2400">
        <v>1072</v>
      </c>
      <c r="I2400">
        <v>126.72453358208956</v>
      </c>
      <c r="J2400">
        <v>164376.93</v>
      </c>
    </row>
    <row r="2401" spans="1:10" hidden="1" x14ac:dyDescent="0.25">
      <c r="A2401" t="s">
        <v>466</v>
      </c>
      <c r="B2401" t="s">
        <v>88</v>
      </c>
      <c r="C2401" s="1">
        <v>45687</v>
      </c>
      <c r="D2401" t="s">
        <v>469</v>
      </c>
      <c r="E2401" t="s">
        <v>136</v>
      </c>
      <c r="F2401" t="s">
        <v>135</v>
      </c>
      <c r="G2401" s="2">
        <v>190531.8</v>
      </c>
      <c r="H2401">
        <v>1072</v>
      </c>
      <c r="I2401">
        <v>177.73488805970149</v>
      </c>
      <c r="J2401">
        <v>230541.37</v>
      </c>
    </row>
    <row r="2402" spans="1:10" hidden="1" x14ac:dyDescent="0.25">
      <c r="A2402" t="s">
        <v>533</v>
      </c>
      <c r="B2402" t="s">
        <v>88</v>
      </c>
      <c r="C2402" s="1">
        <v>45687</v>
      </c>
      <c r="D2402" t="s">
        <v>547</v>
      </c>
      <c r="E2402" t="s">
        <v>90</v>
      </c>
      <c r="F2402" t="s">
        <v>91</v>
      </c>
      <c r="G2402" s="2">
        <v>15494.77</v>
      </c>
      <c r="H2402">
        <v>1072</v>
      </c>
      <c r="I2402">
        <v>14.454076492537315</v>
      </c>
      <c r="J2402">
        <v>18748.669999999998</v>
      </c>
    </row>
    <row r="2403" spans="1:10" hidden="1" x14ac:dyDescent="0.25">
      <c r="A2403" t="s">
        <v>533</v>
      </c>
      <c r="B2403" t="s">
        <v>88</v>
      </c>
      <c r="C2403" s="1">
        <v>45687</v>
      </c>
      <c r="D2403" t="s">
        <v>547</v>
      </c>
      <c r="E2403" t="s">
        <v>92</v>
      </c>
      <c r="F2403" t="s">
        <v>91</v>
      </c>
      <c r="G2403" s="2">
        <v>51.33</v>
      </c>
      <c r="H2403">
        <v>1072</v>
      </c>
      <c r="I2403">
        <v>4.7882462686567165E-2</v>
      </c>
      <c r="J2403">
        <v>51.33</v>
      </c>
    </row>
    <row r="2404" spans="1:10" hidden="1" x14ac:dyDescent="0.25">
      <c r="A2404" t="s">
        <v>533</v>
      </c>
      <c r="B2404" t="s">
        <v>88</v>
      </c>
      <c r="C2404" s="1">
        <v>45687</v>
      </c>
      <c r="D2404" t="s">
        <v>548</v>
      </c>
      <c r="E2404" t="s">
        <v>90</v>
      </c>
      <c r="F2404" t="s">
        <v>91</v>
      </c>
      <c r="G2404" s="2">
        <v>74694.84</v>
      </c>
      <c r="H2404">
        <v>1072</v>
      </c>
      <c r="I2404">
        <v>69.678022388059702</v>
      </c>
      <c r="J2404">
        <v>90380.76</v>
      </c>
    </row>
    <row r="2405" spans="1:10" hidden="1" x14ac:dyDescent="0.25">
      <c r="A2405" t="s">
        <v>533</v>
      </c>
      <c r="B2405" t="s">
        <v>88</v>
      </c>
      <c r="C2405" s="1">
        <v>45687</v>
      </c>
      <c r="D2405" t="s">
        <v>548</v>
      </c>
      <c r="E2405" t="s">
        <v>92</v>
      </c>
      <c r="F2405" t="s">
        <v>91</v>
      </c>
      <c r="G2405" s="2">
        <v>11372.26</v>
      </c>
      <c r="H2405">
        <v>1072</v>
      </c>
      <c r="I2405">
        <v>10.608451492537313</v>
      </c>
      <c r="J2405">
        <v>11372.26</v>
      </c>
    </row>
    <row r="2406" spans="1:10" hidden="1" x14ac:dyDescent="0.25">
      <c r="A2406" t="s">
        <v>246</v>
      </c>
      <c r="B2406" t="s">
        <v>88</v>
      </c>
      <c r="C2406" s="1">
        <v>45686</v>
      </c>
      <c r="D2406" t="s">
        <v>257</v>
      </c>
      <c r="E2406" t="s">
        <v>114</v>
      </c>
      <c r="F2406" t="s">
        <v>115</v>
      </c>
      <c r="G2406" s="2">
        <v>14559.76</v>
      </c>
      <c r="H2406">
        <v>1071.5</v>
      </c>
      <c r="I2406">
        <v>13.588203453103127</v>
      </c>
      <c r="J2406">
        <v>17617.32</v>
      </c>
    </row>
    <row r="2407" spans="1:10" hidden="1" x14ac:dyDescent="0.25">
      <c r="A2407" t="s">
        <v>324</v>
      </c>
      <c r="B2407" t="s">
        <v>88</v>
      </c>
      <c r="C2407" s="1">
        <v>45686</v>
      </c>
      <c r="D2407" t="s">
        <v>328</v>
      </c>
      <c r="E2407" t="s">
        <v>329</v>
      </c>
      <c r="F2407" t="s">
        <v>104</v>
      </c>
      <c r="G2407" s="2">
        <v>45389.2</v>
      </c>
      <c r="H2407">
        <v>1071.5</v>
      </c>
      <c r="I2407">
        <v>42.360429304713016</v>
      </c>
      <c r="J2407">
        <v>45389.2</v>
      </c>
    </row>
    <row r="2408" spans="1:10" hidden="1" x14ac:dyDescent="0.25">
      <c r="A2408" t="s">
        <v>552</v>
      </c>
      <c r="B2408" t="s">
        <v>88</v>
      </c>
      <c r="C2408" s="1">
        <v>45686</v>
      </c>
      <c r="D2408" t="s">
        <v>557</v>
      </c>
      <c r="E2408" t="s">
        <v>136</v>
      </c>
      <c r="F2408" t="s">
        <v>163</v>
      </c>
      <c r="G2408" s="2">
        <v>1232357.6000000001</v>
      </c>
      <c r="H2408">
        <v>1071.5</v>
      </c>
      <c r="I2408">
        <v>1150.1237517498835</v>
      </c>
      <c r="J2408">
        <v>1491152.7</v>
      </c>
    </row>
    <row r="2409" spans="1:10" hidden="1" x14ac:dyDescent="0.25">
      <c r="A2409" t="s">
        <v>443</v>
      </c>
      <c r="B2409" t="s">
        <v>88</v>
      </c>
      <c r="C2409" s="1">
        <v>45682</v>
      </c>
      <c r="D2409" t="s">
        <v>451</v>
      </c>
      <c r="E2409" t="s">
        <v>90</v>
      </c>
      <c r="F2409" t="s">
        <v>91</v>
      </c>
      <c r="G2409" s="2">
        <v>22827.05</v>
      </c>
      <c r="H2409">
        <v>1069</v>
      </c>
      <c r="I2409">
        <v>21.353648269410662</v>
      </c>
      <c r="J2409">
        <v>27620.74</v>
      </c>
    </row>
    <row r="2410" spans="1:10" hidden="1" x14ac:dyDescent="0.25">
      <c r="A2410" t="s">
        <v>443</v>
      </c>
      <c r="B2410" t="s">
        <v>88</v>
      </c>
      <c r="C2410" s="1">
        <v>45682</v>
      </c>
      <c r="D2410" t="s">
        <v>451</v>
      </c>
      <c r="E2410" t="s">
        <v>92</v>
      </c>
      <c r="F2410" t="s">
        <v>91</v>
      </c>
      <c r="G2410" s="2">
        <v>4590.2299999999996</v>
      </c>
      <c r="H2410">
        <v>1069</v>
      </c>
      <c r="I2410">
        <v>4.2939476145930771</v>
      </c>
      <c r="J2410">
        <v>4590.2299999999996</v>
      </c>
    </row>
    <row r="2411" spans="1:10" hidden="1" x14ac:dyDescent="0.25">
      <c r="A2411" t="s">
        <v>289</v>
      </c>
      <c r="B2411" t="s">
        <v>88</v>
      </c>
      <c r="C2411" s="1">
        <v>45681</v>
      </c>
      <c r="D2411" t="s">
        <v>291</v>
      </c>
      <c r="E2411" t="s">
        <v>138</v>
      </c>
      <c r="F2411" t="s">
        <v>139</v>
      </c>
      <c r="G2411" s="2">
        <v>925155</v>
      </c>
      <c r="H2411">
        <v>1069</v>
      </c>
      <c r="I2411">
        <v>865.43966323666973</v>
      </c>
      <c r="J2411">
        <v>1119437.55</v>
      </c>
    </row>
    <row r="2412" spans="1:10" hidden="1" x14ac:dyDescent="0.25">
      <c r="A2412" t="s">
        <v>289</v>
      </c>
      <c r="B2412" t="s">
        <v>88</v>
      </c>
      <c r="C2412" s="1">
        <v>45681</v>
      </c>
      <c r="D2412" t="s">
        <v>292</v>
      </c>
      <c r="E2412" t="s">
        <v>138</v>
      </c>
      <c r="G2412" s="2">
        <v>5264</v>
      </c>
      <c r="H2412">
        <v>1069</v>
      </c>
      <c r="I2412">
        <v>4.9242282507015904</v>
      </c>
      <c r="J2412">
        <v>6369.44</v>
      </c>
    </row>
    <row r="2413" spans="1:10" hidden="1" x14ac:dyDescent="0.25">
      <c r="A2413" t="s">
        <v>400</v>
      </c>
      <c r="B2413" t="s">
        <v>88</v>
      </c>
      <c r="C2413" s="1">
        <v>45680</v>
      </c>
      <c r="D2413" t="s">
        <v>402</v>
      </c>
      <c r="E2413" t="s">
        <v>184</v>
      </c>
      <c r="F2413" t="s">
        <v>188</v>
      </c>
      <c r="G2413" s="2">
        <v>35890</v>
      </c>
      <c r="H2413">
        <v>1068</v>
      </c>
      <c r="I2413">
        <v>33.604868913857679</v>
      </c>
      <c r="J2413">
        <v>43426.9</v>
      </c>
    </row>
    <row r="2414" spans="1:10" hidden="1" x14ac:dyDescent="0.25">
      <c r="A2414" t="s">
        <v>458</v>
      </c>
      <c r="B2414" t="s">
        <v>88</v>
      </c>
      <c r="C2414" s="1">
        <v>45680</v>
      </c>
      <c r="D2414" t="s">
        <v>459</v>
      </c>
      <c r="E2414" t="s">
        <v>90</v>
      </c>
      <c r="F2414" t="s">
        <v>91</v>
      </c>
      <c r="G2414" s="2">
        <v>53382.19</v>
      </c>
      <c r="H2414">
        <v>1068</v>
      </c>
      <c r="I2414">
        <v>49.983323970037453</v>
      </c>
      <c r="J2414">
        <v>64592.45</v>
      </c>
    </row>
    <row r="2415" spans="1:10" hidden="1" x14ac:dyDescent="0.25">
      <c r="A2415" t="s">
        <v>458</v>
      </c>
      <c r="B2415" t="s">
        <v>88</v>
      </c>
      <c r="C2415" s="1">
        <v>45680</v>
      </c>
      <c r="D2415" t="s">
        <v>459</v>
      </c>
      <c r="E2415" t="s">
        <v>92</v>
      </c>
      <c r="F2415" t="s">
        <v>91</v>
      </c>
      <c r="G2415" s="2">
        <v>7407.51</v>
      </c>
      <c r="H2415">
        <v>1068</v>
      </c>
      <c r="I2415">
        <v>6.9358707865168538</v>
      </c>
      <c r="J2415">
        <v>7407.51</v>
      </c>
    </row>
    <row r="2416" spans="1:10" hidden="1" x14ac:dyDescent="0.25">
      <c r="A2416" t="s">
        <v>533</v>
      </c>
      <c r="B2416" t="s">
        <v>88</v>
      </c>
      <c r="C2416" s="1">
        <v>45680</v>
      </c>
      <c r="D2416" t="s">
        <v>543</v>
      </c>
      <c r="E2416" t="s">
        <v>90</v>
      </c>
      <c r="F2416" t="s">
        <v>91</v>
      </c>
      <c r="G2416" s="2">
        <v>15399.92</v>
      </c>
      <c r="H2416">
        <v>1068</v>
      </c>
      <c r="I2416">
        <v>14.419400749063671</v>
      </c>
      <c r="J2416">
        <v>18633.91</v>
      </c>
    </row>
    <row r="2417" spans="1:10" hidden="1" x14ac:dyDescent="0.25">
      <c r="A2417" t="s">
        <v>533</v>
      </c>
      <c r="B2417" t="s">
        <v>88</v>
      </c>
      <c r="C2417" s="1">
        <v>45680</v>
      </c>
      <c r="D2417" t="s">
        <v>543</v>
      </c>
      <c r="E2417" t="s">
        <v>92</v>
      </c>
      <c r="F2417" t="s">
        <v>91</v>
      </c>
      <c r="G2417" s="2">
        <v>66.09</v>
      </c>
      <c r="H2417">
        <v>1068</v>
      </c>
      <c r="I2417">
        <v>6.1882022471910117E-2</v>
      </c>
      <c r="J2417">
        <v>66.09</v>
      </c>
    </row>
    <row r="2418" spans="1:10" hidden="1" x14ac:dyDescent="0.25">
      <c r="A2418" t="s">
        <v>216</v>
      </c>
      <c r="B2418" t="s">
        <v>88</v>
      </c>
      <c r="C2418" s="1">
        <v>45679</v>
      </c>
      <c r="D2418" t="s">
        <v>220</v>
      </c>
      <c r="E2418" t="s">
        <v>218</v>
      </c>
      <c r="F2418" t="s">
        <v>219</v>
      </c>
      <c r="G2418" s="2">
        <v>60000</v>
      </c>
      <c r="H2418">
        <v>1067.5</v>
      </c>
      <c r="I2418">
        <v>56.206088992974237</v>
      </c>
      <c r="J2418">
        <v>72600</v>
      </c>
    </row>
    <row r="2419" spans="1:10" hidden="1" x14ac:dyDescent="0.25">
      <c r="A2419" t="s">
        <v>237</v>
      </c>
      <c r="B2419" t="s">
        <v>88</v>
      </c>
      <c r="C2419" s="1">
        <v>45679</v>
      </c>
      <c r="D2419" t="s">
        <v>238</v>
      </c>
      <c r="E2419" t="s">
        <v>215</v>
      </c>
      <c r="F2419" t="s">
        <v>239</v>
      </c>
      <c r="G2419" s="2">
        <v>10499.19</v>
      </c>
      <c r="H2419">
        <v>1067.5</v>
      </c>
      <c r="I2419">
        <v>9.8353067915690868</v>
      </c>
      <c r="J2419">
        <v>12704.02</v>
      </c>
    </row>
    <row r="2420" spans="1:10" hidden="1" x14ac:dyDescent="0.25">
      <c r="A2420" t="s">
        <v>319</v>
      </c>
      <c r="B2420" t="s">
        <v>88</v>
      </c>
      <c r="C2420" s="1">
        <v>45679</v>
      </c>
      <c r="D2420" t="s">
        <v>320</v>
      </c>
      <c r="E2420" t="s">
        <v>274</v>
      </c>
      <c r="F2420" t="s">
        <v>271</v>
      </c>
      <c r="G2420" s="2">
        <v>13227.09</v>
      </c>
      <c r="H2420">
        <v>1067.5</v>
      </c>
      <c r="I2420">
        <v>12.39071662763466</v>
      </c>
      <c r="J2420">
        <v>16004.78</v>
      </c>
    </row>
    <row r="2421" spans="1:10" hidden="1" x14ac:dyDescent="0.25">
      <c r="A2421" t="s">
        <v>321</v>
      </c>
      <c r="B2421" t="s">
        <v>88</v>
      </c>
      <c r="C2421" s="1">
        <v>45679</v>
      </c>
      <c r="D2421" t="s">
        <v>322</v>
      </c>
      <c r="E2421" t="s">
        <v>323</v>
      </c>
      <c r="F2421" t="s">
        <v>271</v>
      </c>
      <c r="G2421" s="2">
        <v>1600</v>
      </c>
      <c r="H2421">
        <v>1067.5</v>
      </c>
      <c r="I2421">
        <v>1.4988290398126465</v>
      </c>
      <c r="J2421">
        <v>1600</v>
      </c>
    </row>
    <row r="2422" spans="1:10" hidden="1" x14ac:dyDescent="0.25">
      <c r="A2422" t="s">
        <v>495</v>
      </c>
      <c r="B2422" t="s">
        <v>88</v>
      </c>
      <c r="C2422" s="1">
        <v>45679</v>
      </c>
      <c r="D2422" t="s">
        <v>496</v>
      </c>
      <c r="E2422" t="s">
        <v>90</v>
      </c>
      <c r="F2422" t="s">
        <v>91</v>
      </c>
      <c r="G2422" s="2">
        <v>3423</v>
      </c>
      <c r="H2422">
        <v>1067.5</v>
      </c>
      <c r="I2422">
        <v>3.2065573770491804</v>
      </c>
      <c r="J2422">
        <v>4141.83</v>
      </c>
    </row>
    <row r="2423" spans="1:10" hidden="1" x14ac:dyDescent="0.25">
      <c r="A2423" t="s">
        <v>495</v>
      </c>
      <c r="B2423" t="s">
        <v>88</v>
      </c>
      <c r="C2423" s="1">
        <v>45679</v>
      </c>
      <c r="D2423" t="s">
        <v>496</v>
      </c>
      <c r="E2423" t="s">
        <v>92</v>
      </c>
      <c r="F2423" t="s">
        <v>91</v>
      </c>
      <c r="G2423" s="2">
        <v>58.17</v>
      </c>
      <c r="H2423">
        <v>1067.5</v>
      </c>
      <c r="I2423">
        <v>5.4491803278688529E-2</v>
      </c>
      <c r="J2423">
        <v>58.17</v>
      </c>
    </row>
    <row r="2424" spans="1:10" hidden="1" x14ac:dyDescent="0.25">
      <c r="A2424" t="s">
        <v>132</v>
      </c>
      <c r="B2424" t="s">
        <v>88</v>
      </c>
      <c r="C2424" s="1">
        <v>45678</v>
      </c>
      <c r="D2424" t="s">
        <v>141</v>
      </c>
      <c r="E2424" t="s">
        <v>136</v>
      </c>
      <c r="F2424" t="s">
        <v>142</v>
      </c>
      <c r="G2424" s="2">
        <v>13864.44</v>
      </c>
      <c r="H2424">
        <v>1066.5</v>
      </c>
      <c r="I2424">
        <v>12.999943741209565</v>
      </c>
      <c r="J2424">
        <v>16775.97</v>
      </c>
    </row>
    <row r="2425" spans="1:10" hidden="1" x14ac:dyDescent="0.25">
      <c r="A2425" t="s">
        <v>246</v>
      </c>
      <c r="B2425" t="s">
        <v>88</v>
      </c>
      <c r="C2425" s="1">
        <v>45678</v>
      </c>
      <c r="D2425" t="s">
        <v>254</v>
      </c>
      <c r="E2425" t="s">
        <v>114</v>
      </c>
      <c r="F2425" t="s">
        <v>115</v>
      </c>
      <c r="G2425" s="2">
        <v>7279.89</v>
      </c>
      <c r="H2425">
        <v>1066.5</v>
      </c>
      <c r="I2425">
        <v>6.8259634317862172</v>
      </c>
      <c r="J2425">
        <v>8808.66</v>
      </c>
    </row>
    <row r="2426" spans="1:10" hidden="1" x14ac:dyDescent="0.25">
      <c r="A2426" t="s">
        <v>324</v>
      </c>
      <c r="B2426" t="s">
        <v>88</v>
      </c>
      <c r="C2426" s="1">
        <v>45678</v>
      </c>
      <c r="D2426" t="s">
        <v>326</v>
      </c>
      <c r="E2426" t="s">
        <v>102</v>
      </c>
      <c r="F2426" t="s">
        <v>104</v>
      </c>
      <c r="G2426" s="2">
        <v>42640</v>
      </c>
      <c r="H2426">
        <v>1066.5</v>
      </c>
      <c r="I2426">
        <v>39.981247069854668</v>
      </c>
      <c r="J2426">
        <v>42640</v>
      </c>
    </row>
    <row r="2427" spans="1:10" hidden="1" x14ac:dyDescent="0.25">
      <c r="A2427" t="s">
        <v>409</v>
      </c>
      <c r="B2427" t="s">
        <v>88</v>
      </c>
      <c r="C2427" s="1">
        <v>45678</v>
      </c>
      <c r="D2427" t="s">
        <v>410</v>
      </c>
      <c r="E2427" t="s">
        <v>90</v>
      </c>
      <c r="F2427" t="s">
        <v>91</v>
      </c>
      <c r="G2427" s="2">
        <v>4628.1000000000004</v>
      </c>
      <c r="H2427">
        <v>1066.5</v>
      </c>
      <c r="I2427">
        <v>4.3395218002812941</v>
      </c>
      <c r="J2427">
        <v>5600</v>
      </c>
    </row>
    <row r="2428" spans="1:10" hidden="1" x14ac:dyDescent="0.25">
      <c r="A2428" t="s">
        <v>443</v>
      </c>
      <c r="B2428" t="s">
        <v>88</v>
      </c>
      <c r="C2428" s="1">
        <v>45678</v>
      </c>
      <c r="D2428" t="s">
        <v>448</v>
      </c>
      <c r="E2428" t="s">
        <v>90</v>
      </c>
      <c r="F2428" t="s">
        <v>91</v>
      </c>
      <c r="G2428" s="2">
        <v>55676.69</v>
      </c>
      <c r="H2428">
        <v>1066.5</v>
      </c>
      <c r="I2428">
        <v>52.205053914674167</v>
      </c>
      <c r="J2428">
        <v>67368.800000000003</v>
      </c>
    </row>
    <row r="2429" spans="1:10" hidden="1" x14ac:dyDescent="0.25">
      <c r="A2429" t="s">
        <v>443</v>
      </c>
      <c r="B2429" t="s">
        <v>88</v>
      </c>
      <c r="C2429" s="1">
        <v>45678</v>
      </c>
      <c r="D2429" t="s">
        <v>448</v>
      </c>
      <c r="E2429" t="s">
        <v>92</v>
      </c>
      <c r="F2429" t="s">
        <v>91</v>
      </c>
      <c r="G2429" s="2">
        <v>10634.23</v>
      </c>
      <c r="H2429">
        <v>1066.5</v>
      </c>
      <c r="I2429">
        <v>9.9711486169714014</v>
      </c>
      <c r="J2429">
        <v>10634.23</v>
      </c>
    </row>
    <row r="2430" spans="1:10" hidden="1" x14ac:dyDescent="0.25">
      <c r="A2430" t="s">
        <v>336</v>
      </c>
      <c r="B2430" t="s">
        <v>88</v>
      </c>
      <c r="C2430" s="1">
        <v>45677</v>
      </c>
      <c r="D2430" t="s">
        <v>339</v>
      </c>
      <c r="E2430" t="s">
        <v>205</v>
      </c>
      <c r="F2430" t="s">
        <v>103</v>
      </c>
      <c r="G2430" s="2">
        <v>86986</v>
      </c>
      <c r="H2430">
        <v>1066</v>
      </c>
      <c r="I2430">
        <v>81.600375234521579</v>
      </c>
      <c r="J2430">
        <v>105253.06</v>
      </c>
    </row>
    <row r="2431" spans="1:10" hidden="1" x14ac:dyDescent="0.25">
      <c r="A2431" t="s">
        <v>336</v>
      </c>
      <c r="B2431" t="s">
        <v>88</v>
      </c>
      <c r="C2431" s="1">
        <v>45677</v>
      </c>
      <c r="D2431" t="s">
        <v>339</v>
      </c>
      <c r="E2431" t="s">
        <v>205</v>
      </c>
      <c r="F2431" t="s">
        <v>104</v>
      </c>
      <c r="G2431" s="2">
        <v>56730</v>
      </c>
      <c r="H2431">
        <v>1066</v>
      </c>
      <c r="I2431">
        <v>53.217636022514071</v>
      </c>
      <c r="J2431">
        <v>68643.3</v>
      </c>
    </row>
    <row r="2432" spans="1:10" hidden="1" x14ac:dyDescent="0.25">
      <c r="A2432" t="s">
        <v>336</v>
      </c>
      <c r="B2432" t="s">
        <v>88</v>
      </c>
      <c r="C2432" s="1">
        <v>45677</v>
      </c>
      <c r="D2432" t="s">
        <v>339</v>
      </c>
      <c r="E2432" t="s">
        <v>205</v>
      </c>
      <c r="F2432" t="s">
        <v>105</v>
      </c>
      <c r="G2432" s="2">
        <v>45384</v>
      </c>
      <c r="H2432">
        <v>1066</v>
      </c>
      <c r="I2432">
        <v>42.574108818011254</v>
      </c>
      <c r="J2432">
        <v>54914.64</v>
      </c>
    </row>
    <row r="2433" spans="1:10" hidden="1" x14ac:dyDescent="0.25">
      <c r="A2433" t="s">
        <v>527</v>
      </c>
      <c r="B2433" t="s">
        <v>88</v>
      </c>
      <c r="C2433" s="1">
        <v>45677</v>
      </c>
      <c r="D2433" t="s">
        <v>528</v>
      </c>
      <c r="E2433" t="s">
        <v>529</v>
      </c>
      <c r="F2433" t="s">
        <v>85</v>
      </c>
      <c r="G2433" s="2">
        <v>492234.05</v>
      </c>
      <c r="H2433">
        <v>1066</v>
      </c>
      <c r="I2433">
        <v>461.75802063789865</v>
      </c>
      <c r="J2433">
        <v>595597.62</v>
      </c>
    </row>
    <row r="2434" spans="1:10" hidden="1" x14ac:dyDescent="0.25">
      <c r="A2434" t="s">
        <v>527</v>
      </c>
      <c r="B2434" t="s">
        <v>530</v>
      </c>
      <c r="C2434" s="1">
        <v>45677</v>
      </c>
      <c r="D2434" t="s">
        <v>531</v>
      </c>
      <c r="E2434" t="s">
        <v>297</v>
      </c>
      <c r="F2434" t="s">
        <v>85</v>
      </c>
      <c r="G2434" s="2">
        <v>15623.59</v>
      </c>
      <c r="H2434">
        <v>1066</v>
      </c>
      <c r="I2434">
        <v>14.656275797373359</v>
      </c>
      <c r="J2434">
        <v>18904.54</v>
      </c>
    </row>
    <row r="2435" spans="1:10" hidden="1" x14ac:dyDescent="0.25">
      <c r="A2435" t="s">
        <v>527</v>
      </c>
      <c r="B2435" t="s">
        <v>530</v>
      </c>
      <c r="C2435" s="1">
        <v>45677</v>
      </c>
      <c r="D2435" t="s">
        <v>531</v>
      </c>
      <c r="E2435" t="s">
        <v>84</v>
      </c>
      <c r="F2435" t="s">
        <v>85</v>
      </c>
      <c r="G2435" s="2">
        <v>1301965.97</v>
      </c>
      <c r="H2435">
        <v>1066</v>
      </c>
      <c r="I2435">
        <v>1221.3564446529081</v>
      </c>
      <c r="J2435">
        <v>1301965.97</v>
      </c>
    </row>
    <row r="2436" spans="1:10" hidden="1" x14ac:dyDescent="0.25">
      <c r="A2436" t="s">
        <v>527</v>
      </c>
      <c r="B2436" t="s">
        <v>530</v>
      </c>
      <c r="C2436" s="1">
        <v>45677</v>
      </c>
      <c r="D2436" t="s">
        <v>532</v>
      </c>
      <c r="E2436" t="s">
        <v>472</v>
      </c>
      <c r="F2436" t="s">
        <v>85</v>
      </c>
      <c r="G2436" s="2">
        <v>5205.33</v>
      </c>
      <c r="H2436">
        <v>1066</v>
      </c>
      <c r="I2436">
        <v>4.8830487804878047</v>
      </c>
      <c r="J2436">
        <v>6298.45</v>
      </c>
    </row>
    <row r="2437" spans="1:10" hidden="1" x14ac:dyDescent="0.25">
      <c r="A2437" t="s">
        <v>527</v>
      </c>
      <c r="B2437" t="s">
        <v>530</v>
      </c>
      <c r="C2437" s="1">
        <v>45677</v>
      </c>
      <c r="D2437" t="s">
        <v>532</v>
      </c>
      <c r="E2437" t="s">
        <v>212</v>
      </c>
      <c r="F2437" t="s">
        <v>85</v>
      </c>
      <c r="G2437" s="2">
        <v>12793.54</v>
      </c>
      <c r="H2437">
        <v>1066</v>
      </c>
      <c r="I2437">
        <v>12.001444652908068</v>
      </c>
      <c r="J2437">
        <v>12793.54</v>
      </c>
    </row>
    <row r="2438" spans="1:10" hidden="1" x14ac:dyDescent="0.25">
      <c r="A2438" t="s">
        <v>226</v>
      </c>
      <c r="B2438" t="s">
        <v>88</v>
      </c>
      <c r="C2438" s="1">
        <v>45674</v>
      </c>
      <c r="D2438" t="s">
        <v>227</v>
      </c>
      <c r="E2438" t="s">
        <v>228</v>
      </c>
      <c r="F2438" t="s">
        <v>179</v>
      </c>
      <c r="G2438" s="2">
        <v>188037.92</v>
      </c>
      <c r="H2438">
        <v>1063.5</v>
      </c>
      <c r="I2438">
        <v>176.81045604137284</v>
      </c>
      <c r="J2438">
        <v>238808.16</v>
      </c>
    </row>
    <row r="2439" spans="1:10" hidden="1" x14ac:dyDescent="0.25">
      <c r="A2439" t="s">
        <v>226</v>
      </c>
      <c r="B2439" t="s">
        <v>88</v>
      </c>
      <c r="C2439" s="1">
        <v>45674</v>
      </c>
      <c r="D2439" t="s">
        <v>227</v>
      </c>
      <c r="E2439" t="s">
        <v>229</v>
      </c>
      <c r="F2439" t="s">
        <v>179</v>
      </c>
      <c r="G2439" s="2">
        <v>42649.16</v>
      </c>
      <c r="H2439">
        <v>1063.5</v>
      </c>
      <c r="I2439">
        <v>40.102642219087919</v>
      </c>
      <c r="J2439">
        <v>42649.16</v>
      </c>
    </row>
    <row r="2440" spans="1:10" hidden="1" x14ac:dyDescent="0.25">
      <c r="A2440" t="s">
        <v>226</v>
      </c>
      <c r="B2440" t="s">
        <v>88</v>
      </c>
      <c r="C2440" s="1">
        <v>45674</v>
      </c>
      <c r="D2440" t="s">
        <v>230</v>
      </c>
      <c r="E2440" t="s">
        <v>228</v>
      </c>
      <c r="F2440" t="s">
        <v>179</v>
      </c>
      <c r="G2440" s="2">
        <v>188550.37</v>
      </c>
      <c r="H2440">
        <v>1063.5</v>
      </c>
      <c r="I2440">
        <v>177.29230841560883</v>
      </c>
      <c r="J2440">
        <v>239458.97</v>
      </c>
    </row>
    <row r="2441" spans="1:10" hidden="1" x14ac:dyDescent="0.25">
      <c r="A2441" t="s">
        <v>226</v>
      </c>
      <c r="B2441" t="s">
        <v>88</v>
      </c>
      <c r="C2441" s="1">
        <v>45674</v>
      </c>
      <c r="D2441" t="s">
        <v>230</v>
      </c>
      <c r="E2441" t="s">
        <v>229</v>
      </c>
      <c r="F2441" t="s">
        <v>179</v>
      </c>
      <c r="G2441" s="2">
        <v>42425.67</v>
      </c>
      <c r="H2441">
        <v>1063.5</v>
      </c>
      <c r="I2441">
        <v>39.89249647390691</v>
      </c>
      <c r="J2441">
        <v>42425.67</v>
      </c>
    </row>
    <row r="2442" spans="1:10" hidden="1" x14ac:dyDescent="0.25">
      <c r="A2442" t="s">
        <v>400</v>
      </c>
      <c r="B2442" t="s">
        <v>88</v>
      </c>
      <c r="C2442" s="1">
        <v>45674</v>
      </c>
      <c r="D2442" t="s">
        <v>401</v>
      </c>
      <c r="E2442" t="s">
        <v>184</v>
      </c>
      <c r="F2442" t="s">
        <v>188</v>
      </c>
      <c r="G2442" s="2">
        <v>35890</v>
      </c>
      <c r="H2442">
        <v>1063.5</v>
      </c>
      <c r="I2442">
        <v>33.747061589092617</v>
      </c>
      <c r="J2442">
        <v>43426.9</v>
      </c>
    </row>
    <row r="2443" spans="1:10" hidden="1" x14ac:dyDescent="0.25">
      <c r="A2443" t="s">
        <v>533</v>
      </c>
      <c r="B2443" t="s">
        <v>88</v>
      </c>
      <c r="C2443" s="1">
        <v>45674</v>
      </c>
      <c r="D2443" t="s">
        <v>542</v>
      </c>
      <c r="E2443" t="s">
        <v>90</v>
      </c>
      <c r="F2443" t="s">
        <v>91</v>
      </c>
      <c r="G2443" s="2">
        <v>44054.36</v>
      </c>
      <c r="H2443">
        <v>1063.5</v>
      </c>
      <c r="I2443">
        <v>41.423939821344618</v>
      </c>
      <c r="J2443">
        <v>53305.77</v>
      </c>
    </row>
    <row r="2444" spans="1:10" hidden="1" x14ac:dyDescent="0.25">
      <c r="A2444" t="s">
        <v>533</v>
      </c>
      <c r="B2444" t="s">
        <v>88</v>
      </c>
      <c r="C2444" s="1">
        <v>45674</v>
      </c>
      <c r="D2444" t="s">
        <v>542</v>
      </c>
      <c r="E2444" t="s">
        <v>92</v>
      </c>
      <c r="F2444" t="s">
        <v>91</v>
      </c>
      <c r="G2444" s="2">
        <v>6707.26</v>
      </c>
      <c r="H2444">
        <v>1063.5</v>
      </c>
      <c r="I2444">
        <v>6.3067795016455106</v>
      </c>
      <c r="J2444">
        <v>6707.26</v>
      </c>
    </row>
    <row r="2445" spans="1:10" hidden="1" x14ac:dyDescent="0.25">
      <c r="A2445" t="s">
        <v>112</v>
      </c>
      <c r="B2445" t="s">
        <v>88</v>
      </c>
      <c r="C2445" s="1">
        <v>45673</v>
      </c>
      <c r="D2445" t="s">
        <v>120</v>
      </c>
      <c r="E2445" t="s">
        <v>114</v>
      </c>
      <c r="F2445" t="s">
        <v>115</v>
      </c>
      <c r="G2445" s="2">
        <v>4391.03</v>
      </c>
      <c r="H2445">
        <v>1062</v>
      </c>
      <c r="I2445">
        <v>4.1346798493408663</v>
      </c>
      <c r="J2445">
        <v>5313.15</v>
      </c>
    </row>
    <row r="2446" spans="1:10" hidden="1" x14ac:dyDescent="0.25">
      <c r="A2446" t="s">
        <v>182</v>
      </c>
      <c r="B2446" t="s">
        <v>88</v>
      </c>
      <c r="C2446" s="1">
        <v>45673</v>
      </c>
      <c r="D2446" t="s">
        <v>187</v>
      </c>
      <c r="E2446" t="s">
        <v>184</v>
      </c>
      <c r="F2446" t="s">
        <v>188</v>
      </c>
      <c r="G2446" s="2">
        <v>18321.3</v>
      </c>
      <c r="H2446">
        <v>1062</v>
      </c>
      <c r="I2446">
        <v>17.251694915254237</v>
      </c>
      <c r="J2446">
        <v>22168.77</v>
      </c>
    </row>
    <row r="2447" spans="1:10" hidden="1" x14ac:dyDescent="0.25">
      <c r="A2447" t="s">
        <v>182</v>
      </c>
      <c r="B2447" t="s">
        <v>88</v>
      </c>
      <c r="C2447" s="1">
        <v>45673</v>
      </c>
      <c r="D2447" t="s">
        <v>189</v>
      </c>
      <c r="E2447" t="s">
        <v>184</v>
      </c>
      <c r="F2447" t="s">
        <v>188</v>
      </c>
      <c r="G2447" s="2">
        <v>247000</v>
      </c>
      <c r="H2447">
        <v>1062</v>
      </c>
      <c r="I2447">
        <v>232.58003766478342</v>
      </c>
      <c r="J2447">
        <v>298870</v>
      </c>
    </row>
    <row r="2448" spans="1:10" hidden="1" x14ac:dyDescent="0.25">
      <c r="A2448" t="s">
        <v>353</v>
      </c>
      <c r="B2448" t="s">
        <v>88</v>
      </c>
      <c r="C2448" s="1">
        <v>45673</v>
      </c>
      <c r="D2448" t="s">
        <v>358</v>
      </c>
      <c r="E2448" t="s">
        <v>114</v>
      </c>
      <c r="F2448" t="s">
        <v>115</v>
      </c>
      <c r="G2448" s="2">
        <v>12826.47</v>
      </c>
      <c r="H2448">
        <v>1062</v>
      </c>
      <c r="I2448">
        <v>12.077655367231637</v>
      </c>
      <c r="J2448">
        <v>15520.04</v>
      </c>
    </row>
    <row r="2449" spans="1:10" hidden="1" x14ac:dyDescent="0.25">
      <c r="A2449" t="s">
        <v>533</v>
      </c>
      <c r="B2449" t="s">
        <v>88</v>
      </c>
      <c r="C2449" s="1">
        <v>45673</v>
      </c>
      <c r="D2449" t="s">
        <v>541</v>
      </c>
      <c r="E2449" t="s">
        <v>90</v>
      </c>
      <c r="F2449" t="s">
        <v>91</v>
      </c>
      <c r="G2449" s="2">
        <v>7808.81</v>
      </c>
      <c r="H2449">
        <v>1062</v>
      </c>
      <c r="I2449">
        <v>7.3529284369114878</v>
      </c>
      <c r="J2449">
        <v>9448.67</v>
      </c>
    </row>
    <row r="2450" spans="1:10" hidden="1" x14ac:dyDescent="0.25">
      <c r="A2450" t="s">
        <v>533</v>
      </c>
      <c r="B2450" t="s">
        <v>88</v>
      </c>
      <c r="C2450" s="1">
        <v>45673</v>
      </c>
      <c r="D2450" t="s">
        <v>541</v>
      </c>
      <c r="E2450" t="s">
        <v>92</v>
      </c>
      <c r="F2450" t="s">
        <v>91</v>
      </c>
      <c r="G2450" s="2">
        <v>51.33</v>
      </c>
      <c r="H2450">
        <v>1062</v>
      </c>
      <c r="I2450">
        <v>4.8333333333333332E-2</v>
      </c>
      <c r="J2450">
        <v>51.33</v>
      </c>
    </row>
    <row r="2451" spans="1:10" hidden="1" x14ac:dyDescent="0.25">
      <c r="A2451" t="s">
        <v>125</v>
      </c>
      <c r="B2451" t="s">
        <v>88</v>
      </c>
      <c r="C2451" s="1">
        <v>45672</v>
      </c>
      <c r="D2451" t="s">
        <v>126</v>
      </c>
      <c r="E2451" t="s">
        <v>114</v>
      </c>
      <c r="F2451" t="s">
        <v>115</v>
      </c>
      <c r="G2451" s="2">
        <v>2345.48</v>
      </c>
      <c r="H2451">
        <v>1061.5</v>
      </c>
      <c r="I2451">
        <v>2.2095902025435703</v>
      </c>
      <c r="J2451">
        <v>2838.03</v>
      </c>
    </row>
    <row r="2452" spans="1:10" hidden="1" x14ac:dyDescent="0.25">
      <c r="A2452" t="s">
        <v>125</v>
      </c>
      <c r="B2452" t="s">
        <v>88</v>
      </c>
      <c r="C2452" s="1">
        <v>45672</v>
      </c>
      <c r="D2452" t="s">
        <v>126</v>
      </c>
      <c r="E2452" t="s">
        <v>127</v>
      </c>
      <c r="F2452" t="s">
        <v>115</v>
      </c>
      <c r="G2452" s="2">
        <v>234.69</v>
      </c>
      <c r="H2452">
        <v>1061.5</v>
      </c>
      <c r="I2452">
        <v>0.22109279321714553</v>
      </c>
      <c r="J2452">
        <v>234.69</v>
      </c>
    </row>
    <row r="2453" spans="1:10" hidden="1" x14ac:dyDescent="0.25">
      <c r="A2453" t="s">
        <v>213</v>
      </c>
      <c r="B2453" t="s">
        <v>88</v>
      </c>
      <c r="C2453" s="1">
        <v>45672</v>
      </c>
      <c r="D2453" t="s">
        <v>214</v>
      </c>
      <c r="E2453" t="s">
        <v>215</v>
      </c>
      <c r="F2453" t="s">
        <v>104</v>
      </c>
      <c r="G2453" s="2">
        <v>48838.84</v>
      </c>
      <c r="H2453">
        <v>1061.5</v>
      </c>
      <c r="I2453">
        <v>46.009269901083371</v>
      </c>
      <c r="J2453">
        <v>59095</v>
      </c>
    </row>
    <row r="2454" spans="1:10" hidden="1" x14ac:dyDescent="0.25">
      <c r="A2454" t="s">
        <v>216</v>
      </c>
      <c r="B2454" t="s">
        <v>88</v>
      </c>
      <c r="C2454" s="1">
        <v>45672</v>
      </c>
      <c r="D2454" t="s">
        <v>217</v>
      </c>
      <c r="E2454" t="s">
        <v>218</v>
      </c>
      <c r="F2454" t="s">
        <v>219</v>
      </c>
      <c r="G2454" s="2">
        <v>39256.199999999997</v>
      </c>
      <c r="H2454">
        <v>1061.5</v>
      </c>
      <c r="I2454">
        <v>36.981818181818177</v>
      </c>
      <c r="J2454">
        <v>47500</v>
      </c>
    </row>
    <row r="2455" spans="1:10" hidden="1" x14ac:dyDescent="0.25">
      <c r="A2455" t="s">
        <v>240</v>
      </c>
      <c r="B2455" t="s">
        <v>88</v>
      </c>
      <c r="C2455" s="1">
        <v>45672</v>
      </c>
      <c r="D2455" t="s">
        <v>241</v>
      </c>
      <c r="E2455" t="s">
        <v>114</v>
      </c>
      <c r="F2455" t="s">
        <v>115</v>
      </c>
      <c r="G2455" s="2">
        <v>5960.33</v>
      </c>
      <c r="H2455">
        <v>1061.5</v>
      </c>
      <c r="I2455">
        <v>5.615007065473387</v>
      </c>
      <c r="J2455">
        <v>7212</v>
      </c>
    </row>
    <row r="2456" spans="1:10" hidden="1" x14ac:dyDescent="0.25">
      <c r="A2456" t="s">
        <v>246</v>
      </c>
      <c r="B2456" t="s">
        <v>88</v>
      </c>
      <c r="C2456" s="1">
        <v>45672</v>
      </c>
      <c r="D2456" t="s">
        <v>252</v>
      </c>
      <c r="E2456" t="s">
        <v>114</v>
      </c>
      <c r="F2456" t="s">
        <v>115</v>
      </c>
      <c r="G2456" s="2">
        <v>10399.83</v>
      </c>
      <c r="H2456">
        <v>1061.5</v>
      </c>
      <c r="I2456">
        <v>9.7972962788506823</v>
      </c>
      <c r="J2456">
        <v>12583.8</v>
      </c>
    </row>
    <row r="2457" spans="1:10" hidden="1" x14ac:dyDescent="0.25">
      <c r="A2457" t="s">
        <v>246</v>
      </c>
      <c r="B2457" t="s">
        <v>96</v>
      </c>
      <c r="C2457" s="1">
        <v>45672</v>
      </c>
      <c r="D2457" t="s">
        <v>262</v>
      </c>
      <c r="E2457" t="s">
        <v>127</v>
      </c>
      <c r="F2457" t="s">
        <v>115</v>
      </c>
      <c r="G2457" s="2">
        <v>151.63</v>
      </c>
      <c r="H2457">
        <v>1061.5</v>
      </c>
      <c r="I2457">
        <v>0.14284503061705134</v>
      </c>
      <c r="J2457">
        <v>151.63</v>
      </c>
    </row>
    <row r="2458" spans="1:10" hidden="1" x14ac:dyDescent="0.25">
      <c r="A2458" t="s">
        <v>300</v>
      </c>
      <c r="B2458" t="s">
        <v>88</v>
      </c>
      <c r="C2458" s="1">
        <v>45672</v>
      </c>
      <c r="D2458" t="s">
        <v>305</v>
      </c>
      <c r="E2458" t="s">
        <v>90</v>
      </c>
      <c r="F2458" t="s">
        <v>91</v>
      </c>
      <c r="G2458" s="2">
        <v>7500</v>
      </c>
      <c r="H2458">
        <v>1061.5</v>
      </c>
      <c r="I2458">
        <v>7.0654733867169099</v>
      </c>
      <c r="J2458">
        <v>9075</v>
      </c>
    </row>
    <row r="2459" spans="1:10" hidden="1" x14ac:dyDescent="0.25">
      <c r="A2459" t="s">
        <v>443</v>
      </c>
      <c r="B2459" t="s">
        <v>88</v>
      </c>
      <c r="C2459" s="1">
        <v>45672</v>
      </c>
      <c r="D2459" t="s">
        <v>445</v>
      </c>
      <c r="E2459" t="s">
        <v>90</v>
      </c>
      <c r="F2459" t="s">
        <v>91</v>
      </c>
      <c r="G2459" s="2">
        <v>54568.58</v>
      </c>
      <c r="H2459">
        <v>1061.5</v>
      </c>
      <c r="I2459">
        <v>51.407046632124356</v>
      </c>
      <c r="J2459">
        <v>66027.98</v>
      </c>
    </row>
    <row r="2460" spans="1:10" hidden="1" x14ac:dyDescent="0.25">
      <c r="A2460" t="s">
        <v>443</v>
      </c>
      <c r="B2460" t="s">
        <v>88</v>
      </c>
      <c r="C2460" s="1">
        <v>45672</v>
      </c>
      <c r="D2460" t="s">
        <v>445</v>
      </c>
      <c r="E2460" t="s">
        <v>92</v>
      </c>
      <c r="F2460" t="s">
        <v>91</v>
      </c>
      <c r="G2460" s="2">
        <v>10973.06</v>
      </c>
      <c r="H2460">
        <v>1061.5</v>
      </c>
      <c r="I2460">
        <v>10.337315120113047</v>
      </c>
      <c r="J2460">
        <v>10973.06</v>
      </c>
    </row>
    <row r="2461" spans="1:10" hidden="1" x14ac:dyDescent="0.25">
      <c r="A2461" t="s">
        <v>313</v>
      </c>
      <c r="B2461" t="s">
        <v>88</v>
      </c>
      <c r="C2461" s="1">
        <v>45671</v>
      </c>
      <c r="D2461" t="s">
        <v>315</v>
      </c>
      <c r="E2461" t="s">
        <v>90</v>
      </c>
      <c r="F2461" t="s">
        <v>91</v>
      </c>
      <c r="G2461" s="2">
        <v>51374.07</v>
      </c>
      <c r="H2461">
        <v>1060.5</v>
      </c>
      <c r="I2461">
        <v>48.443253182461106</v>
      </c>
      <c r="J2461">
        <v>62162.63</v>
      </c>
    </row>
    <row r="2462" spans="1:10" hidden="1" x14ac:dyDescent="0.25">
      <c r="A2462" t="s">
        <v>313</v>
      </c>
      <c r="B2462" t="s">
        <v>88</v>
      </c>
      <c r="C2462" s="1">
        <v>45671</v>
      </c>
      <c r="D2462" t="s">
        <v>315</v>
      </c>
      <c r="E2462" t="s">
        <v>92</v>
      </c>
      <c r="F2462" t="s">
        <v>91</v>
      </c>
      <c r="G2462" s="2">
        <v>6845.35</v>
      </c>
      <c r="H2462">
        <v>1060.5</v>
      </c>
      <c r="I2462">
        <v>6.4548326261197548</v>
      </c>
      <c r="J2462">
        <v>6845.35</v>
      </c>
    </row>
    <row r="2463" spans="1:10" hidden="1" x14ac:dyDescent="0.25">
      <c r="A2463" t="s">
        <v>324</v>
      </c>
      <c r="B2463" t="s">
        <v>88</v>
      </c>
      <c r="C2463" s="1">
        <v>45671</v>
      </c>
      <c r="D2463" t="s">
        <v>325</v>
      </c>
      <c r="E2463" t="s">
        <v>102</v>
      </c>
      <c r="F2463" t="s">
        <v>18</v>
      </c>
      <c r="G2463" s="2">
        <v>33480.199999999997</v>
      </c>
      <c r="H2463">
        <v>1060.5</v>
      </c>
      <c r="I2463">
        <v>31.570202734559167</v>
      </c>
      <c r="J2463">
        <v>33480.199999999997</v>
      </c>
    </row>
    <row r="2464" spans="1:10" hidden="1" x14ac:dyDescent="0.25">
      <c r="A2464" t="s">
        <v>504</v>
      </c>
      <c r="B2464" t="s">
        <v>88</v>
      </c>
      <c r="C2464" s="1">
        <v>45671</v>
      </c>
      <c r="D2464" t="s">
        <v>505</v>
      </c>
      <c r="E2464" t="s">
        <v>506</v>
      </c>
      <c r="F2464" t="s">
        <v>179</v>
      </c>
      <c r="G2464" s="2">
        <v>202500</v>
      </c>
      <c r="H2464">
        <v>1060.5</v>
      </c>
      <c r="I2464">
        <v>190.94766619519095</v>
      </c>
      <c r="J2464">
        <v>257175</v>
      </c>
    </row>
    <row r="2465" spans="1:10" hidden="1" x14ac:dyDescent="0.25">
      <c r="A2465" t="s">
        <v>504</v>
      </c>
      <c r="B2465" t="s">
        <v>88</v>
      </c>
      <c r="C2465" s="1">
        <v>45671</v>
      </c>
      <c r="D2465" t="s">
        <v>505</v>
      </c>
      <c r="E2465" t="s">
        <v>507</v>
      </c>
      <c r="F2465" t="s">
        <v>179</v>
      </c>
      <c r="G2465" s="2">
        <v>10657.78</v>
      </c>
      <c r="H2465">
        <v>1060.5</v>
      </c>
      <c r="I2465">
        <v>10.04976897689769</v>
      </c>
      <c r="J2465">
        <v>10657.78</v>
      </c>
    </row>
    <row r="2466" spans="1:10" hidden="1" x14ac:dyDescent="0.25">
      <c r="A2466" t="s">
        <v>161</v>
      </c>
      <c r="B2466" t="s">
        <v>88</v>
      </c>
      <c r="C2466" s="1">
        <v>45667</v>
      </c>
      <c r="D2466" t="s">
        <v>164</v>
      </c>
      <c r="E2466" t="s">
        <v>136</v>
      </c>
      <c r="F2466" t="s">
        <v>163</v>
      </c>
      <c r="G2466" s="2">
        <v>76251.98</v>
      </c>
      <c r="H2466">
        <v>1059</v>
      </c>
      <c r="I2466">
        <v>72.003758262511795</v>
      </c>
      <c r="J2466">
        <v>92265.53</v>
      </c>
    </row>
    <row r="2467" spans="1:10" hidden="1" x14ac:dyDescent="0.25">
      <c r="A2467" t="s">
        <v>533</v>
      </c>
      <c r="B2467" t="s">
        <v>88</v>
      </c>
      <c r="C2467" s="1">
        <v>45667</v>
      </c>
      <c r="D2467" t="s">
        <v>536</v>
      </c>
      <c r="E2467" t="s">
        <v>90</v>
      </c>
      <c r="F2467" t="s">
        <v>91</v>
      </c>
      <c r="G2467" s="2">
        <v>16238.58</v>
      </c>
      <c r="H2467">
        <v>1059</v>
      </c>
      <c r="I2467">
        <v>15.333881019830029</v>
      </c>
      <c r="J2467">
        <v>19648.669999999998</v>
      </c>
    </row>
    <row r="2468" spans="1:10" hidden="1" x14ac:dyDescent="0.25">
      <c r="A2468" t="s">
        <v>533</v>
      </c>
      <c r="B2468" t="s">
        <v>88</v>
      </c>
      <c r="C2468" s="1">
        <v>45667</v>
      </c>
      <c r="D2468" t="s">
        <v>536</v>
      </c>
      <c r="E2468" t="s">
        <v>92</v>
      </c>
      <c r="F2468" t="s">
        <v>91</v>
      </c>
      <c r="G2468" s="2">
        <v>51.33</v>
      </c>
      <c r="H2468">
        <v>1059</v>
      </c>
      <c r="I2468">
        <v>4.8470254957507078E-2</v>
      </c>
      <c r="J2468">
        <v>51.33</v>
      </c>
    </row>
    <row r="2469" spans="1:10" hidden="1" x14ac:dyDescent="0.25">
      <c r="A2469" t="s">
        <v>533</v>
      </c>
      <c r="B2469" t="s">
        <v>88</v>
      </c>
      <c r="C2469" s="1">
        <v>45667</v>
      </c>
      <c r="D2469" t="s">
        <v>537</v>
      </c>
      <c r="E2469" t="s">
        <v>90</v>
      </c>
      <c r="F2469" t="s">
        <v>91</v>
      </c>
      <c r="G2469" s="2">
        <v>77082.02</v>
      </c>
      <c r="H2469">
        <v>1059</v>
      </c>
      <c r="I2469">
        <v>72.787554296506144</v>
      </c>
      <c r="J2469">
        <v>93269.25</v>
      </c>
    </row>
    <row r="2470" spans="1:10" hidden="1" x14ac:dyDescent="0.25">
      <c r="A2470" t="s">
        <v>533</v>
      </c>
      <c r="B2470" t="s">
        <v>88</v>
      </c>
      <c r="C2470" s="1">
        <v>45667</v>
      </c>
      <c r="D2470" t="s">
        <v>537</v>
      </c>
      <c r="E2470" t="s">
        <v>92</v>
      </c>
      <c r="F2470" t="s">
        <v>91</v>
      </c>
      <c r="G2470" s="2">
        <v>11735.71</v>
      </c>
      <c r="H2470">
        <v>1059</v>
      </c>
      <c r="I2470">
        <v>11.081879131255901</v>
      </c>
      <c r="J2470">
        <v>11735.71</v>
      </c>
    </row>
    <row r="2471" spans="1:10" hidden="1" x14ac:dyDescent="0.25">
      <c r="A2471" t="s">
        <v>87</v>
      </c>
      <c r="B2471" t="s">
        <v>88</v>
      </c>
      <c r="C2471" s="1">
        <v>45666</v>
      </c>
      <c r="D2471" t="s">
        <v>93</v>
      </c>
      <c r="E2471" t="s">
        <v>90</v>
      </c>
      <c r="F2471" t="s">
        <v>91</v>
      </c>
      <c r="G2471" s="2">
        <v>50520.94</v>
      </c>
      <c r="H2471">
        <v>1057</v>
      </c>
      <c r="I2471">
        <v>47.796537369914859</v>
      </c>
      <c r="J2471">
        <v>61130.34</v>
      </c>
    </row>
    <row r="2472" spans="1:10" hidden="1" x14ac:dyDescent="0.25">
      <c r="A2472" t="s">
        <v>87</v>
      </c>
      <c r="B2472" t="s">
        <v>88</v>
      </c>
      <c r="C2472" s="1">
        <v>45666</v>
      </c>
      <c r="D2472" t="s">
        <v>93</v>
      </c>
      <c r="E2472" t="s">
        <v>92</v>
      </c>
      <c r="F2472" t="s">
        <v>91</v>
      </c>
      <c r="G2472" s="2">
        <v>6871.66</v>
      </c>
      <c r="H2472">
        <v>1057</v>
      </c>
      <c r="I2472">
        <v>6.5010974456007569</v>
      </c>
      <c r="J2472">
        <v>6871.66</v>
      </c>
    </row>
    <row r="2473" spans="1:10" hidden="1" x14ac:dyDescent="0.25">
      <c r="A2473" t="s">
        <v>144</v>
      </c>
      <c r="B2473" t="s">
        <v>145</v>
      </c>
      <c r="C2473" s="1">
        <v>45665</v>
      </c>
      <c r="D2473" t="s">
        <v>146</v>
      </c>
      <c r="E2473" t="s">
        <v>147</v>
      </c>
      <c r="G2473" s="2">
        <v>9484.2900000000009</v>
      </c>
      <c r="H2473">
        <v>1056</v>
      </c>
      <c r="I2473">
        <v>8.9813352272727283</v>
      </c>
      <c r="J2473">
        <v>9484.2900000000009</v>
      </c>
    </row>
    <row r="2474" spans="1:10" hidden="1" x14ac:dyDescent="0.25">
      <c r="A2474" t="s">
        <v>144</v>
      </c>
      <c r="B2474" t="s">
        <v>145</v>
      </c>
      <c r="C2474" s="1">
        <v>45665</v>
      </c>
      <c r="D2474" t="s">
        <v>146</v>
      </c>
      <c r="E2474" t="s">
        <v>148</v>
      </c>
      <c r="G2474" s="2">
        <v>325703.8</v>
      </c>
      <c r="H2474">
        <v>1056</v>
      </c>
      <c r="I2474">
        <v>308.43162878787876</v>
      </c>
      <c r="J2474">
        <v>359902.7</v>
      </c>
    </row>
    <row r="2475" spans="1:10" hidden="1" x14ac:dyDescent="0.25">
      <c r="A2475" t="s">
        <v>161</v>
      </c>
      <c r="B2475" t="s">
        <v>88</v>
      </c>
      <c r="C2475" s="1">
        <v>45665</v>
      </c>
      <c r="D2475" t="s">
        <v>162</v>
      </c>
      <c r="E2475" t="s">
        <v>136</v>
      </c>
      <c r="F2475" t="s">
        <v>163</v>
      </c>
      <c r="G2475" s="2">
        <v>72175.09</v>
      </c>
      <c r="H2475">
        <v>1056</v>
      </c>
      <c r="I2475">
        <v>68.34762310606061</v>
      </c>
      <c r="J2475">
        <v>87332.07</v>
      </c>
    </row>
    <row r="2476" spans="1:10" hidden="1" x14ac:dyDescent="0.25">
      <c r="A2476" t="s">
        <v>265</v>
      </c>
      <c r="B2476" t="s">
        <v>88</v>
      </c>
      <c r="C2476" s="1">
        <v>45665</v>
      </c>
      <c r="D2476" t="s">
        <v>270</v>
      </c>
      <c r="E2476" t="s">
        <v>267</v>
      </c>
      <c r="F2476" t="s">
        <v>271</v>
      </c>
      <c r="G2476" s="2">
        <v>116000</v>
      </c>
      <c r="H2476">
        <v>1056</v>
      </c>
      <c r="I2476">
        <v>109.84848484848484</v>
      </c>
      <c r="J2476">
        <v>140360</v>
      </c>
    </row>
    <row r="2477" spans="1:10" hidden="1" x14ac:dyDescent="0.25">
      <c r="A2477" t="s">
        <v>341</v>
      </c>
      <c r="B2477" t="s">
        <v>88</v>
      </c>
      <c r="C2477" s="1">
        <v>45665</v>
      </c>
      <c r="D2477" t="s">
        <v>342</v>
      </c>
      <c r="E2477" t="s">
        <v>297</v>
      </c>
      <c r="F2477" t="s">
        <v>85</v>
      </c>
      <c r="G2477" s="2">
        <v>1039034.2</v>
      </c>
      <c r="H2477">
        <v>1056</v>
      </c>
      <c r="I2477">
        <v>983.93390151515143</v>
      </c>
      <c r="J2477">
        <v>1257231.3700000001</v>
      </c>
    </row>
    <row r="2478" spans="1:10" hidden="1" x14ac:dyDescent="0.25">
      <c r="A2478" t="s">
        <v>403</v>
      </c>
      <c r="B2478" t="s">
        <v>88</v>
      </c>
      <c r="C2478" s="1">
        <v>45665</v>
      </c>
      <c r="D2478" t="s">
        <v>404</v>
      </c>
      <c r="E2478" t="s">
        <v>218</v>
      </c>
      <c r="F2478" t="s">
        <v>219</v>
      </c>
      <c r="G2478" s="2">
        <v>40165.29</v>
      </c>
      <c r="H2478">
        <v>1056</v>
      </c>
      <c r="I2478">
        <v>38.035312500000003</v>
      </c>
      <c r="J2478">
        <v>48600</v>
      </c>
    </row>
    <row r="2479" spans="1:10" hidden="1" x14ac:dyDescent="0.25">
      <c r="A2479" t="s">
        <v>100</v>
      </c>
      <c r="B2479" t="s">
        <v>88</v>
      </c>
      <c r="C2479" s="1">
        <v>45664</v>
      </c>
      <c r="D2479" t="s">
        <v>101</v>
      </c>
      <c r="E2479" t="s">
        <v>102</v>
      </c>
      <c r="F2479" t="s">
        <v>103</v>
      </c>
      <c r="G2479" s="2">
        <v>36800</v>
      </c>
      <c r="H2479">
        <v>1055.5</v>
      </c>
      <c r="I2479">
        <v>34.864992894362864</v>
      </c>
      <c r="J2479">
        <v>36800</v>
      </c>
    </row>
    <row r="2480" spans="1:10" hidden="1" x14ac:dyDescent="0.25">
      <c r="A2480" t="s">
        <v>100</v>
      </c>
      <c r="B2480" t="s">
        <v>88</v>
      </c>
      <c r="C2480" s="1">
        <v>45664</v>
      </c>
      <c r="D2480" t="s">
        <v>101</v>
      </c>
      <c r="E2480" t="s">
        <v>102</v>
      </c>
      <c r="F2480" t="s">
        <v>104</v>
      </c>
      <c r="G2480" s="2">
        <v>24000</v>
      </c>
      <c r="H2480">
        <v>1055.5</v>
      </c>
      <c r="I2480">
        <v>22.738038844149692</v>
      </c>
      <c r="J2480">
        <v>24000</v>
      </c>
    </row>
    <row r="2481" spans="1:10" hidden="1" x14ac:dyDescent="0.25">
      <c r="A2481" t="s">
        <v>100</v>
      </c>
      <c r="B2481" t="s">
        <v>88</v>
      </c>
      <c r="C2481" s="1">
        <v>45664</v>
      </c>
      <c r="D2481" t="s">
        <v>101</v>
      </c>
      <c r="E2481" t="s">
        <v>102</v>
      </c>
      <c r="F2481" t="s">
        <v>105</v>
      </c>
      <c r="G2481" s="2">
        <v>19200</v>
      </c>
      <c r="H2481">
        <v>1055.5</v>
      </c>
      <c r="I2481">
        <v>18.190431075319754</v>
      </c>
      <c r="J2481">
        <v>19200</v>
      </c>
    </row>
    <row r="2482" spans="1:10" hidden="1" x14ac:dyDescent="0.25">
      <c r="A2482" t="s">
        <v>149</v>
      </c>
      <c r="B2482" t="s">
        <v>88</v>
      </c>
      <c r="C2482" s="1">
        <v>45664</v>
      </c>
      <c r="D2482" t="s">
        <v>150</v>
      </c>
      <c r="E2482" t="s">
        <v>151</v>
      </c>
      <c r="F2482" t="s">
        <v>85</v>
      </c>
      <c r="G2482" s="2">
        <v>849.96</v>
      </c>
      <c r="H2482">
        <v>1055.5</v>
      </c>
      <c r="I2482">
        <v>0.80526764566556142</v>
      </c>
      <c r="J2482">
        <v>849.96</v>
      </c>
    </row>
    <row r="2483" spans="1:10" hidden="1" x14ac:dyDescent="0.25">
      <c r="A2483" t="s">
        <v>149</v>
      </c>
      <c r="B2483" t="s">
        <v>88</v>
      </c>
      <c r="C2483" s="1">
        <v>45664</v>
      </c>
      <c r="D2483" t="s">
        <v>150</v>
      </c>
      <c r="E2483" t="s">
        <v>152</v>
      </c>
      <c r="F2483" t="s">
        <v>85</v>
      </c>
      <c r="G2483" s="2">
        <v>21249.08</v>
      </c>
      <c r="H2483">
        <v>1055.5</v>
      </c>
      <c r="I2483">
        <v>20.131766935101851</v>
      </c>
      <c r="J2483">
        <v>25711.39</v>
      </c>
    </row>
    <row r="2484" spans="1:10" hidden="1" x14ac:dyDescent="0.25">
      <c r="A2484" t="s">
        <v>149</v>
      </c>
      <c r="B2484" t="s">
        <v>88</v>
      </c>
      <c r="C2484" s="1">
        <v>45664</v>
      </c>
      <c r="D2484" t="s">
        <v>150</v>
      </c>
      <c r="E2484" t="s">
        <v>153</v>
      </c>
      <c r="F2484" t="s">
        <v>85</v>
      </c>
      <c r="G2484" s="2">
        <v>597.21</v>
      </c>
      <c r="H2484">
        <v>1055.5</v>
      </c>
      <c r="I2484">
        <v>0.56580767408810995</v>
      </c>
      <c r="J2484">
        <v>597.21</v>
      </c>
    </row>
    <row r="2485" spans="1:10" hidden="1" x14ac:dyDescent="0.25">
      <c r="A2485" t="s">
        <v>175</v>
      </c>
      <c r="B2485" t="s">
        <v>88</v>
      </c>
      <c r="C2485" s="1">
        <v>45664</v>
      </c>
      <c r="D2485" t="s">
        <v>178</v>
      </c>
      <c r="E2485" t="s">
        <v>177</v>
      </c>
      <c r="F2485" t="s">
        <v>179</v>
      </c>
      <c r="G2485" s="2">
        <v>12858.57</v>
      </c>
      <c r="H2485">
        <v>1055.5</v>
      </c>
      <c r="I2485">
        <v>12.182444339175746</v>
      </c>
      <c r="J2485">
        <v>16330.38</v>
      </c>
    </row>
    <row r="2486" spans="1:10" hidden="1" x14ac:dyDescent="0.25">
      <c r="A2486" t="s">
        <v>175</v>
      </c>
      <c r="B2486" t="s">
        <v>88</v>
      </c>
      <c r="C2486" s="1">
        <v>45664</v>
      </c>
      <c r="D2486" t="s">
        <v>178</v>
      </c>
      <c r="E2486" t="s">
        <v>180</v>
      </c>
      <c r="F2486" t="s">
        <v>179</v>
      </c>
      <c r="G2486" s="2">
        <v>385.76</v>
      </c>
      <c r="H2486">
        <v>1055.5</v>
      </c>
      <c r="I2486">
        <v>0.36547607768829937</v>
      </c>
      <c r="J2486">
        <v>385.76</v>
      </c>
    </row>
    <row r="2487" spans="1:10" hidden="1" x14ac:dyDescent="0.25">
      <c r="A2487" t="s">
        <v>246</v>
      </c>
      <c r="B2487" t="s">
        <v>88</v>
      </c>
      <c r="C2487" s="1">
        <v>45664</v>
      </c>
      <c r="D2487" t="s">
        <v>249</v>
      </c>
      <c r="E2487" t="s">
        <v>114</v>
      </c>
      <c r="F2487" t="s">
        <v>115</v>
      </c>
      <c r="G2487" s="2">
        <v>4783.92</v>
      </c>
      <c r="H2487">
        <v>1055.5</v>
      </c>
      <c r="I2487">
        <v>4.5323732828043584</v>
      </c>
      <c r="J2487">
        <v>5788.54</v>
      </c>
    </row>
    <row r="2488" spans="1:10" hidden="1" x14ac:dyDescent="0.25">
      <c r="A2488" t="s">
        <v>300</v>
      </c>
      <c r="B2488" t="s">
        <v>88</v>
      </c>
      <c r="C2488" s="1">
        <v>45664</v>
      </c>
      <c r="D2488" t="s">
        <v>302</v>
      </c>
      <c r="E2488" t="s">
        <v>90</v>
      </c>
      <c r="F2488" t="s">
        <v>91</v>
      </c>
      <c r="G2488" s="2">
        <v>7500</v>
      </c>
      <c r="H2488">
        <v>1055.5</v>
      </c>
      <c r="I2488">
        <v>7.1056371387967792</v>
      </c>
      <c r="J2488">
        <v>9075</v>
      </c>
    </row>
    <row r="2489" spans="1:10" hidden="1" x14ac:dyDescent="0.25">
      <c r="A2489" t="s">
        <v>333</v>
      </c>
      <c r="B2489" t="s">
        <v>88</v>
      </c>
      <c r="C2489" s="1">
        <v>45664</v>
      </c>
      <c r="D2489" t="s">
        <v>334</v>
      </c>
      <c r="E2489" t="s">
        <v>90</v>
      </c>
      <c r="F2489" t="s">
        <v>91</v>
      </c>
      <c r="G2489" s="2">
        <v>38751.629999999997</v>
      </c>
      <c r="H2489">
        <v>1055.5</v>
      </c>
      <c r="I2489">
        <v>36.71400284225485</v>
      </c>
      <c r="J2489">
        <v>46889.47</v>
      </c>
    </row>
    <row r="2490" spans="1:10" hidden="1" x14ac:dyDescent="0.25">
      <c r="A2490" t="s">
        <v>333</v>
      </c>
      <c r="B2490" t="s">
        <v>88</v>
      </c>
      <c r="C2490" s="1">
        <v>45664</v>
      </c>
      <c r="D2490" t="s">
        <v>334</v>
      </c>
      <c r="E2490" t="s">
        <v>92</v>
      </c>
      <c r="F2490" t="s">
        <v>91</v>
      </c>
      <c r="G2490" s="2">
        <v>7610.49</v>
      </c>
      <c r="H2490">
        <v>1055.5</v>
      </c>
      <c r="I2490">
        <v>7.2103173851255331</v>
      </c>
      <c r="J2490">
        <v>7610.49</v>
      </c>
    </row>
    <row r="2491" spans="1:10" hidden="1" x14ac:dyDescent="0.25">
      <c r="A2491" t="s">
        <v>295</v>
      </c>
      <c r="B2491" t="s">
        <v>88</v>
      </c>
      <c r="C2491" s="1">
        <v>45663</v>
      </c>
      <c r="D2491" t="s">
        <v>296</v>
      </c>
      <c r="E2491" t="s">
        <v>297</v>
      </c>
      <c r="F2491" t="s">
        <v>85</v>
      </c>
      <c r="G2491" s="2">
        <v>23892.560000000001</v>
      </c>
      <c r="H2491">
        <v>1055</v>
      </c>
      <c r="I2491">
        <v>22.646976303317537</v>
      </c>
      <c r="J2491">
        <v>28910</v>
      </c>
    </row>
    <row r="2492" spans="1:10" hidden="1" x14ac:dyDescent="0.25">
      <c r="A2492" t="s">
        <v>490</v>
      </c>
      <c r="B2492" t="s">
        <v>96</v>
      </c>
      <c r="C2492" s="1">
        <v>45663</v>
      </c>
      <c r="D2492" t="s">
        <v>491</v>
      </c>
      <c r="E2492" t="s">
        <v>84</v>
      </c>
      <c r="F2492" t="s">
        <v>85</v>
      </c>
      <c r="G2492" s="2">
        <v>1327.62</v>
      </c>
      <c r="H2492">
        <v>1055</v>
      </c>
      <c r="I2492">
        <v>1.2584075829383885</v>
      </c>
      <c r="J2492">
        <v>1327.62</v>
      </c>
    </row>
    <row r="2493" spans="1:10" hidden="1" x14ac:dyDescent="0.25">
      <c r="A2493" t="s">
        <v>490</v>
      </c>
      <c r="B2493" t="s">
        <v>96</v>
      </c>
      <c r="C2493" s="1">
        <v>45663</v>
      </c>
      <c r="D2493" t="s">
        <v>492</v>
      </c>
      <c r="E2493" t="s">
        <v>84</v>
      </c>
      <c r="F2493" t="s">
        <v>85</v>
      </c>
      <c r="G2493" s="2">
        <v>9301.81</v>
      </c>
      <c r="H2493">
        <v>1055</v>
      </c>
      <c r="I2493">
        <v>8.8168815165876779</v>
      </c>
      <c r="J2493">
        <v>9301.81</v>
      </c>
    </row>
    <row r="2494" spans="1:10" hidden="1" x14ac:dyDescent="0.25">
      <c r="A2494" t="s">
        <v>411</v>
      </c>
      <c r="B2494" t="s">
        <v>88</v>
      </c>
      <c r="C2494" s="1">
        <v>45661</v>
      </c>
      <c r="D2494" t="s">
        <v>412</v>
      </c>
      <c r="E2494" t="s">
        <v>413</v>
      </c>
      <c r="F2494" t="s">
        <v>271</v>
      </c>
      <c r="G2494" s="2">
        <v>40017.4</v>
      </c>
      <c r="H2494">
        <v>1055</v>
      </c>
      <c r="I2494">
        <v>37.931184834123222</v>
      </c>
      <c r="J2494">
        <v>40017.4</v>
      </c>
    </row>
    <row r="2495" spans="1:10" hidden="1" x14ac:dyDescent="0.25">
      <c r="A2495" t="s">
        <v>81</v>
      </c>
      <c r="B2495" t="s">
        <v>82</v>
      </c>
      <c r="C2495" s="1">
        <v>45660</v>
      </c>
      <c r="D2495" t="s">
        <v>83</v>
      </c>
      <c r="E2495" t="s">
        <v>84</v>
      </c>
      <c r="F2495" t="s">
        <v>85</v>
      </c>
      <c r="G2495" s="2">
        <v>8764242.0299999993</v>
      </c>
      <c r="H2495">
        <v>1055</v>
      </c>
      <c r="I2495">
        <v>8307.33841706161</v>
      </c>
      <c r="J2495">
        <v>8764242.0299999993</v>
      </c>
    </row>
    <row r="2496" spans="1:10" hidden="1" x14ac:dyDescent="0.25">
      <c r="A2496" t="s">
        <v>81</v>
      </c>
      <c r="B2496" t="s">
        <v>82</v>
      </c>
      <c r="C2496" s="1">
        <v>45660</v>
      </c>
      <c r="D2496" t="s">
        <v>83</v>
      </c>
      <c r="E2496" t="s">
        <v>86</v>
      </c>
      <c r="G2496" s="2">
        <v>0</v>
      </c>
      <c r="H2496">
        <v>1055</v>
      </c>
      <c r="I2496">
        <v>0</v>
      </c>
      <c r="J2496">
        <v>6663889.2300000004</v>
      </c>
    </row>
    <row r="2497" spans="1:10" hidden="1" x14ac:dyDescent="0.25">
      <c r="A2497" t="s">
        <v>221</v>
      </c>
      <c r="B2497" t="s">
        <v>88</v>
      </c>
      <c r="C2497" s="1">
        <v>45660</v>
      </c>
      <c r="D2497" t="s">
        <v>222</v>
      </c>
      <c r="E2497" t="s">
        <v>90</v>
      </c>
      <c r="F2497" t="s">
        <v>91</v>
      </c>
      <c r="G2497" s="2">
        <v>18614.099999999999</v>
      </c>
      <c r="H2497">
        <v>1055</v>
      </c>
      <c r="I2497">
        <v>17.643696682464455</v>
      </c>
      <c r="J2497">
        <v>22522.98</v>
      </c>
    </row>
    <row r="2498" spans="1:10" hidden="1" x14ac:dyDescent="0.25">
      <c r="A2498" t="s">
        <v>221</v>
      </c>
      <c r="B2498" t="s">
        <v>88</v>
      </c>
      <c r="C2498" s="1">
        <v>45660</v>
      </c>
      <c r="D2498" t="s">
        <v>222</v>
      </c>
      <c r="E2498" t="s">
        <v>92</v>
      </c>
      <c r="F2498" t="s">
        <v>91</v>
      </c>
      <c r="G2498" s="2">
        <v>2477</v>
      </c>
      <c r="H2498">
        <v>1055</v>
      </c>
      <c r="I2498">
        <v>2.347867298578199</v>
      </c>
      <c r="J2498">
        <v>2477</v>
      </c>
    </row>
    <row r="2499" spans="1:10" hidden="1" x14ac:dyDescent="0.25">
      <c r="A2499" t="s">
        <v>331</v>
      </c>
      <c r="B2499" t="s">
        <v>96</v>
      </c>
      <c r="C2499" s="1">
        <v>45660</v>
      </c>
      <c r="D2499" t="s">
        <v>332</v>
      </c>
      <c r="E2499" t="s">
        <v>151</v>
      </c>
      <c r="G2499" s="2">
        <v>167898.39</v>
      </c>
      <c r="H2499">
        <v>1055</v>
      </c>
      <c r="I2499">
        <v>159.14539336492894</v>
      </c>
      <c r="J2499">
        <v>167898.39</v>
      </c>
    </row>
    <row r="2500" spans="1:10" hidden="1" x14ac:dyDescent="0.25">
      <c r="A2500" t="s">
        <v>420</v>
      </c>
      <c r="B2500" t="s">
        <v>88</v>
      </c>
      <c r="C2500" s="1">
        <v>45660</v>
      </c>
      <c r="D2500" t="s">
        <v>421</v>
      </c>
      <c r="E2500" t="s">
        <v>422</v>
      </c>
      <c r="F2500" t="s">
        <v>109</v>
      </c>
      <c r="G2500" s="2">
        <v>87059</v>
      </c>
      <c r="H2500">
        <v>1055</v>
      </c>
      <c r="I2500">
        <v>82.520379146919424</v>
      </c>
      <c r="J2500">
        <v>105341.39</v>
      </c>
    </row>
    <row r="2501" spans="1:10" hidden="1" x14ac:dyDescent="0.25">
      <c r="A2501" t="s">
        <v>420</v>
      </c>
      <c r="B2501" t="s">
        <v>88</v>
      </c>
      <c r="C2501" s="1">
        <v>45660</v>
      </c>
      <c r="D2501" t="s">
        <v>421</v>
      </c>
      <c r="E2501" t="s">
        <v>423</v>
      </c>
      <c r="F2501" t="s">
        <v>109</v>
      </c>
      <c r="G2501" s="2">
        <v>37512.800000000003</v>
      </c>
      <c r="H2501">
        <v>1055</v>
      </c>
      <c r="I2501">
        <v>35.557156398104269</v>
      </c>
      <c r="J2501">
        <v>47641.26</v>
      </c>
    </row>
    <row r="2502" spans="1:10" hidden="1" x14ac:dyDescent="0.25">
      <c r="A2502" t="s">
        <v>460</v>
      </c>
      <c r="B2502" t="s">
        <v>88</v>
      </c>
      <c r="C2502" s="1">
        <v>45660</v>
      </c>
      <c r="D2502" t="s">
        <v>462</v>
      </c>
      <c r="E2502" t="s">
        <v>90</v>
      </c>
      <c r="F2502" t="s">
        <v>91</v>
      </c>
      <c r="G2502" s="2">
        <v>62000.21</v>
      </c>
      <c r="H2502">
        <v>1055</v>
      </c>
      <c r="I2502">
        <v>58.767971563981042</v>
      </c>
      <c r="J2502">
        <v>75020.25</v>
      </c>
    </row>
    <row r="2503" spans="1:10" hidden="1" x14ac:dyDescent="0.25">
      <c r="A2503" t="s">
        <v>460</v>
      </c>
      <c r="B2503" t="s">
        <v>88</v>
      </c>
      <c r="C2503" s="1">
        <v>45660</v>
      </c>
      <c r="D2503" t="s">
        <v>462</v>
      </c>
      <c r="E2503" t="s">
        <v>92</v>
      </c>
      <c r="F2503" t="s">
        <v>91</v>
      </c>
      <c r="G2503" s="2">
        <v>11276.53</v>
      </c>
      <c r="H2503">
        <v>1055</v>
      </c>
      <c r="I2503">
        <v>10.688654028436019</v>
      </c>
      <c r="J2503">
        <v>11276.53</v>
      </c>
    </row>
    <row r="2504" spans="1:10" hidden="1" x14ac:dyDescent="0.25">
      <c r="A2504" t="s">
        <v>275</v>
      </c>
      <c r="B2504" t="s">
        <v>88</v>
      </c>
      <c r="C2504" s="1">
        <v>45659</v>
      </c>
      <c r="D2504" t="s">
        <v>278</v>
      </c>
      <c r="E2504" t="s">
        <v>90</v>
      </c>
      <c r="F2504" t="s">
        <v>91</v>
      </c>
      <c r="G2504" s="2">
        <v>445082.12</v>
      </c>
      <c r="H2504">
        <v>1052.5</v>
      </c>
      <c r="I2504">
        <v>422.88087410926363</v>
      </c>
      <c r="J2504">
        <v>538549.37</v>
      </c>
    </row>
    <row r="2505" spans="1:10" hidden="1" x14ac:dyDescent="0.25">
      <c r="A2505" t="s">
        <v>275</v>
      </c>
      <c r="B2505" t="s">
        <v>88</v>
      </c>
      <c r="C2505" s="1">
        <v>45659</v>
      </c>
      <c r="D2505" t="s">
        <v>278</v>
      </c>
      <c r="E2505" t="s">
        <v>92</v>
      </c>
      <c r="F2505" t="s">
        <v>91</v>
      </c>
      <c r="G2505" s="2">
        <v>77468.19</v>
      </c>
      <c r="H2505">
        <v>1052.5</v>
      </c>
      <c r="I2505">
        <v>73.603980997624703</v>
      </c>
      <c r="J2505">
        <v>77468.19</v>
      </c>
    </row>
    <row r="2506" spans="1:10" hidden="1" x14ac:dyDescent="0.25">
      <c r="A2506" t="s">
        <v>374</v>
      </c>
      <c r="B2506" t="s">
        <v>88</v>
      </c>
      <c r="C2506" s="1">
        <v>45659</v>
      </c>
      <c r="D2506" t="s">
        <v>375</v>
      </c>
      <c r="E2506" t="s">
        <v>376</v>
      </c>
      <c r="F2506" t="s">
        <v>179</v>
      </c>
      <c r="G2506" s="2">
        <v>16528.93</v>
      </c>
      <c r="H2506">
        <v>1052.5</v>
      </c>
      <c r="I2506">
        <v>15.704446555819478</v>
      </c>
      <c r="J2506">
        <v>20000</v>
      </c>
    </row>
    <row r="2507" spans="1:10" hidden="1" x14ac:dyDescent="0.25">
      <c r="A2507" t="s">
        <v>383</v>
      </c>
      <c r="B2507" t="s">
        <v>88</v>
      </c>
      <c r="C2507" s="1">
        <v>45659</v>
      </c>
      <c r="D2507" t="s">
        <v>384</v>
      </c>
      <c r="E2507" t="s">
        <v>136</v>
      </c>
      <c r="F2507" t="s">
        <v>385</v>
      </c>
      <c r="G2507" s="2">
        <v>335953.53</v>
      </c>
      <c r="H2507">
        <v>1052.5</v>
      </c>
      <c r="I2507">
        <v>319.19575296912114</v>
      </c>
      <c r="J2507">
        <v>406503.77</v>
      </c>
    </row>
    <row r="2508" spans="1:10" hidden="1" x14ac:dyDescent="0.25">
      <c r="A2508" t="s">
        <v>478</v>
      </c>
      <c r="B2508" t="s">
        <v>88</v>
      </c>
      <c r="C2508" s="1">
        <v>45659</v>
      </c>
      <c r="D2508" t="s">
        <v>482</v>
      </c>
      <c r="E2508" t="s">
        <v>267</v>
      </c>
      <c r="F2508" t="s">
        <v>271</v>
      </c>
      <c r="G2508" s="2">
        <v>18466.12</v>
      </c>
      <c r="H2508">
        <v>1052.5</v>
      </c>
      <c r="I2508">
        <v>17.545007125890734</v>
      </c>
      <c r="J2508">
        <v>22344</v>
      </c>
    </row>
    <row r="2509" spans="1:10" hidden="1" x14ac:dyDescent="0.25">
      <c r="A2509" t="s">
        <v>112</v>
      </c>
      <c r="B2509" t="s">
        <v>88</v>
      </c>
      <c r="C2509" s="1">
        <v>45658</v>
      </c>
      <c r="D2509" t="s">
        <v>113</v>
      </c>
      <c r="E2509" t="s">
        <v>114</v>
      </c>
      <c r="F2509" t="s">
        <v>115</v>
      </c>
      <c r="G2509" s="2">
        <v>4044.41</v>
      </c>
      <c r="H2509">
        <v>1052.5</v>
      </c>
      <c r="I2509">
        <v>3.8426698337292162</v>
      </c>
      <c r="J2509">
        <v>4893.74</v>
      </c>
    </row>
    <row r="2510" spans="1:10" hidden="1" x14ac:dyDescent="0.25">
      <c r="A2510" t="s">
        <v>353</v>
      </c>
      <c r="B2510" t="s">
        <v>88</v>
      </c>
      <c r="C2510" s="1">
        <v>45658</v>
      </c>
      <c r="D2510" t="s">
        <v>354</v>
      </c>
      <c r="E2510" t="s">
        <v>114</v>
      </c>
      <c r="F2510" t="s">
        <v>115</v>
      </c>
      <c r="G2510" s="2">
        <v>10746.48</v>
      </c>
      <c r="H2510">
        <v>1052.5</v>
      </c>
      <c r="I2510">
        <v>10.210432304038005</v>
      </c>
      <c r="J2510">
        <v>13003.25</v>
      </c>
    </row>
    <row r="2511" spans="1:10" hidden="1" x14ac:dyDescent="0.25">
      <c r="A2511" t="s">
        <v>438</v>
      </c>
      <c r="B2511" t="s">
        <v>88</v>
      </c>
      <c r="C2511" s="1">
        <v>45658</v>
      </c>
      <c r="D2511" t="s">
        <v>439</v>
      </c>
      <c r="E2511" t="s">
        <v>440</v>
      </c>
      <c r="F2511" t="s">
        <v>271</v>
      </c>
      <c r="G2511" s="2">
        <v>72000</v>
      </c>
      <c r="H2511">
        <v>1052.5</v>
      </c>
      <c r="I2511">
        <v>68.408551068883611</v>
      </c>
      <c r="J2511">
        <v>72000</v>
      </c>
    </row>
    <row r="2512" spans="1:10" x14ac:dyDescent="0.25">
      <c r="A2512" t="s">
        <v>426</v>
      </c>
      <c r="B2512" t="s">
        <v>88</v>
      </c>
      <c r="C2512" s="1">
        <v>45947</v>
      </c>
      <c r="D2512" t="s">
        <v>1275</v>
      </c>
      <c r="E2512" t="s">
        <v>136</v>
      </c>
      <c r="F2512" t="s">
        <v>8</v>
      </c>
      <c r="G2512" s="14">
        <v>18817.009999999998</v>
      </c>
      <c r="H2512">
        <v>1475</v>
      </c>
      <c r="I2512">
        <v>12.76</v>
      </c>
      <c r="J2512">
        <v>22768.58</v>
      </c>
    </row>
    <row r="2513" spans="1:10" x14ac:dyDescent="0.25">
      <c r="A2513" t="s">
        <v>426</v>
      </c>
      <c r="B2513" t="s">
        <v>88</v>
      </c>
      <c r="C2513" s="1">
        <v>45947</v>
      </c>
      <c r="D2513" t="s">
        <v>1276</v>
      </c>
      <c r="E2513" t="s">
        <v>136</v>
      </c>
      <c r="F2513" t="s">
        <v>135</v>
      </c>
      <c r="G2513" s="14">
        <v>159911</v>
      </c>
      <c r="H2513">
        <v>1475</v>
      </c>
      <c r="I2513">
        <v>108.41</v>
      </c>
      <c r="J2513">
        <v>193492.31</v>
      </c>
    </row>
    <row r="2514" spans="1:10" x14ac:dyDescent="0.25">
      <c r="A2514" t="s">
        <v>426</v>
      </c>
      <c r="B2514" t="s">
        <v>88</v>
      </c>
      <c r="C2514" s="1">
        <v>45947</v>
      </c>
      <c r="D2514" t="s">
        <v>1277</v>
      </c>
      <c r="E2514" t="s">
        <v>136</v>
      </c>
      <c r="F2514" t="s">
        <v>14</v>
      </c>
      <c r="G2514" s="14">
        <v>712682.79</v>
      </c>
      <c r="H2514">
        <v>1475</v>
      </c>
      <c r="I2514">
        <v>483.17</v>
      </c>
      <c r="J2514">
        <v>862346.18</v>
      </c>
    </row>
    <row r="2515" spans="1:10" x14ac:dyDescent="0.25">
      <c r="A2515" t="s">
        <v>426</v>
      </c>
      <c r="B2515" t="s">
        <v>88</v>
      </c>
      <c r="C2515" s="1">
        <v>45947</v>
      </c>
      <c r="D2515" t="s">
        <v>1278</v>
      </c>
      <c r="E2515" t="s">
        <v>136</v>
      </c>
      <c r="F2515" t="s">
        <v>14</v>
      </c>
      <c r="G2515" s="14">
        <v>447959.96</v>
      </c>
      <c r="H2515">
        <v>1475</v>
      </c>
      <c r="I2515">
        <v>303.7</v>
      </c>
      <c r="J2515">
        <v>542031.55000000005</v>
      </c>
    </row>
    <row r="2516" spans="1:10" x14ac:dyDescent="0.25">
      <c r="A2516" t="s">
        <v>466</v>
      </c>
      <c r="B2516" t="s">
        <v>88</v>
      </c>
      <c r="C2516" s="1">
        <v>45947</v>
      </c>
      <c r="D2516" t="s">
        <v>1340</v>
      </c>
      <c r="E2516" t="s">
        <v>136</v>
      </c>
      <c r="F2516" t="s">
        <v>19</v>
      </c>
      <c r="G2516" s="14">
        <v>9138600.5199999996</v>
      </c>
      <c r="H2516">
        <v>1475</v>
      </c>
      <c r="I2516">
        <v>6195.66</v>
      </c>
      <c r="J2516">
        <v>11057700.18</v>
      </c>
    </row>
    <row r="2517" spans="1:10" x14ac:dyDescent="0.25">
      <c r="A2517" t="s">
        <v>1362</v>
      </c>
      <c r="B2517" t="s">
        <v>530</v>
      </c>
      <c r="C2517" s="1">
        <v>45947</v>
      </c>
      <c r="D2517" t="s">
        <v>1374</v>
      </c>
      <c r="E2517" t="s">
        <v>944</v>
      </c>
      <c r="F2517" t="s">
        <v>945</v>
      </c>
      <c r="G2517" s="14">
        <v>157856.65</v>
      </c>
      <c r="H2517">
        <v>1475</v>
      </c>
      <c r="I2517">
        <v>107.02</v>
      </c>
      <c r="J2517">
        <v>191006.55</v>
      </c>
    </row>
    <row r="2518" spans="1:10" x14ac:dyDescent="0.25">
      <c r="A2518" t="s">
        <v>552</v>
      </c>
      <c r="B2518" t="s">
        <v>88</v>
      </c>
      <c r="C2518" s="1">
        <v>45947</v>
      </c>
      <c r="D2518" t="s">
        <v>1502</v>
      </c>
      <c r="E2518" t="s">
        <v>136</v>
      </c>
      <c r="G2518" s="14">
        <v>14660679.85</v>
      </c>
      <c r="H2518">
        <v>1475</v>
      </c>
      <c r="I2518">
        <v>9939.44</v>
      </c>
      <c r="J2518">
        <v>17739421.300000001</v>
      </c>
    </row>
    <row r="2519" spans="1:10" x14ac:dyDescent="0.25">
      <c r="A2519" t="s">
        <v>552</v>
      </c>
      <c r="B2519" t="s">
        <v>199</v>
      </c>
      <c r="C2519" s="1">
        <v>45947</v>
      </c>
      <c r="D2519" t="s">
        <v>1512</v>
      </c>
      <c r="E2519" t="s">
        <v>136</v>
      </c>
      <c r="G2519" s="14">
        <v>-13437644.300000001</v>
      </c>
      <c r="H2519">
        <v>1475</v>
      </c>
      <c r="I2519">
        <v>-9110.27</v>
      </c>
      <c r="J2519">
        <v>-16259552.800000001</v>
      </c>
    </row>
    <row r="2520" spans="1:10" x14ac:dyDescent="0.25">
      <c r="A2520" t="s">
        <v>161</v>
      </c>
      <c r="B2520" t="s">
        <v>88</v>
      </c>
      <c r="C2520" s="1">
        <v>45946</v>
      </c>
      <c r="D2520" t="s">
        <v>1008</v>
      </c>
      <c r="E2520" t="s">
        <v>134</v>
      </c>
      <c r="F2520" t="s">
        <v>6</v>
      </c>
      <c r="G2520" s="14">
        <v>35616.75</v>
      </c>
      <c r="H2520">
        <v>1430</v>
      </c>
      <c r="I2520">
        <v>24.91</v>
      </c>
      <c r="J2520">
        <v>39354.050000000003</v>
      </c>
    </row>
    <row r="2521" spans="1:10" x14ac:dyDescent="0.25">
      <c r="A2521" t="s">
        <v>161</v>
      </c>
      <c r="B2521" t="s">
        <v>88</v>
      </c>
      <c r="C2521" s="1">
        <v>45946</v>
      </c>
      <c r="D2521" t="s">
        <v>1008</v>
      </c>
      <c r="E2521" t="s">
        <v>136</v>
      </c>
      <c r="F2521" t="s">
        <v>6</v>
      </c>
      <c r="G2521" s="14">
        <v>1116356.8</v>
      </c>
      <c r="H2521">
        <v>1430</v>
      </c>
      <c r="I2521">
        <v>780.67</v>
      </c>
      <c r="J2521">
        <v>1350795.1</v>
      </c>
    </row>
    <row r="2522" spans="1:10" x14ac:dyDescent="0.25">
      <c r="A2522" t="s">
        <v>161</v>
      </c>
      <c r="B2522" t="s">
        <v>88</v>
      </c>
      <c r="C2522" s="1">
        <v>45946</v>
      </c>
      <c r="D2522" t="s">
        <v>1009</v>
      </c>
      <c r="E2522" t="s">
        <v>134</v>
      </c>
      <c r="F2522" t="s">
        <v>14</v>
      </c>
      <c r="G2522" s="14">
        <v>2571.15</v>
      </c>
      <c r="H2522">
        <v>1430</v>
      </c>
      <c r="I2522">
        <v>1.8</v>
      </c>
      <c r="J2522">
        <v>2838.1</v>
      </c>
    </row>
    <row r="2523" spans="1:10" x14ac:dyDescent="0.25">
      <c r="A2523" t="s">
        <v>161</v>
      </c>
      <c r="B2523" t="s">
        <v>88</v>
      </c>
      <c r="C2523" s="1">
        <v>45946</v>
      </c>
      <c r="D2523" t="s">
        <v>1009</v>
      </c>
      <c r="E2523" t="s">
        <v>136</v>
      </c>
      <c r="F2523" t="s">
        <v>14</v>
      </c>
      <c r="G2523" s="14">
        <v>1088650.2</v>
      </c>
      <c r="H2523">
        <v>1430</v>
      </c>
      <c r="I2523">
        <v>761.29</v>
      </c>
      <c r="J2523">
        <v>1317257.75</v>
      </c>
    </row>
    <row r="2524" spans="1:10" x14ac:dyDescent="0.25">
      <c r="A2524" t="s">
        <v>455</v>
      </c>
      <c r="B2524" t="s">
        <v>88</v>
      </c>
      <c r="C2524" s="1">
        <v>45946</v>
      </c>
      <c r="D2524" t="s">
        <v>1330</v>
      </c>
      <c r="E2524" t="s">
        <v>136</v>
      </c>
      <c r="F2524" t="s">
        <v>14</v>
      </c>
      <c r="G2524" s="14">
        <v>174850</v>
      </c>
      <c r="H2524">
        <v>1430</v>
      </c>
      <c r="I2524">
        <v>122.27</v>
      </c>
      <c r="J2524">
        <v>211568.5</v>
      </c>
    </row>
    <row r="2525" spans="1:10" x14ac:dyDescent="0.25">
      <c r="A2525" t="s">
        <v>125</v>
      </c>
      <c r="B2525" t="s">
        <v>88</v>
      </c>
      <c r="C2525" s="1">
        <v>45945</v>
      </c>
      <c r="D2525" t="s">
        <v>966</v>
      </c>
      <c r="E2525" t="s">
        <v>114</v>
      </c>
      <c r="F2525" t="s">
        <v>117</v>
      </c>
      <c r="G2525" s="14">
        <v>5891.09</v>
      </c>
      <c r="H2525">
        <v>1405</v>
      </c>
      <c r="I2525">
        <v>4.1900000000000004</v>
      </c>
      <c r="J2525">
        <v>7128.22</v>
      </c>
    </row>
    <row r="2526" spans="1:10" x14ac:dyDescent="0.25">
      <c r="A2526" t="s">
        <v>125</v>
      </c>
      <c r="B2526" t="s">
        <v>88</v>
      </c>
      <c r="C2526" s="1">
        <v>45945</v>
      </c>
      <c r="D2526" t="s">
        <v>966</v>
      </c>
      <c r="E2526" t="s">
        <v>127</v>
      </c>
      <c r="F2526" t="s">
        <v>117</v>
      </c>
      <c r="G2526" s="14">
        <v>589.14</v>
      </c>
      <c r="H2526">
        <v>1405</v>
      </c>
      <c r="I2526">
        <v>0.42</v>
      </c>
      <c r="J2526">
        <v>589.14</v>
      </c>
    </row>
    <row r="2527" spans="1:10" x14ac:dyDescent="0.25">
      <c r="A2527" t="s">
        <v>1320</v>
      </c>
      <c r="B2527" t="s">
        <v>199</v>
      </c>
      <c r="C2527" s="1">
        <v>45945</v>
      </c>
      <c r="D2527" t="s">
        <v>1323</v>
      </c>
      <c r="E2527" t="s">
        <v>136</v>
      </c>
      <c r="G2527" s="14">
        <v>-1641864</v>
      </c>
      <c r="H2527">
        <v>1405</v>
      </c>
      <c r="I2527">
        <v>-1168.5899999999999</v>
      </c>
      <c r="J2527">
        <v>-1986659.5</v>
      </c>
    </row>
    <row r="2528" spans="1:10" x14ac:dyDescent="0.25">
      <c r="A2528" t="s">
        <v>884</v>
      </c>
      <c r="B2528" t="s">
        <v>88</v>
      </c>
      <c r="C2528" s="1">
        <v>45945</v>
      </c>
      <c r="D2528" t="s">
        <v>1441</v>
      </c>
      <c r="E2528" t="s">
        <v>136</v>
      </c>
      <c r="F2528" t="s">
        <v>8</v>
      </c>
      <c r="G2528" s="14">
        <v>1699488</v>
      </c>
      <c r="H2528">
        <v>1405</v>
      </c>
      <c r="I2528">
        <v>1209.5999999999999</v>
      </c>
      <c r="J2528">
        <v>2056380.48</v>
      </c>
    </row>
    <row r="2529" spans="1:10" x14ac:dyDescent="0.25">
      <c r="A2529" t="s">
        <v>161</v>
      </c>
      <c r="B2529" t="s">
        <v>88</v>
      </c>
      <c r="C2529" s="1">
        <v>45944</v>
      </c>
      <c r="D2529" t="s">
        <v>1007</v>
      </c>
      <c r="E2529" t="s">
        <v>136</v>
      </c>
      <c r="F2529" t="s">
        <v>17</v>
      </c>
      <c r="G2529" s="14">
        <v>12127.5</v>
      </c>
      <c r="H2529">
        <v>1385</v>
      </c>
      <c r="I2529">
        <v>8.76</v>
      </c>
      <c r="J2529">
        <v>14671.25</v>
      </c>
    </row>
    <row r="2530" spans="1:10" x14ac:dyDescent="0.25">
      <c r="A2530" t="s">
        <v>246</v>
      </c>
      <c r="B2530" t="s">
        <v>88</v>
      </c>
      <c r="C2530" s="1">
        <v>45944</v>
      </c>
      <c r="D2530" t="s">
        <v>1081</v>
      </c>
      <c r="E2530" t="s">
        <v>114</v>
      </c>
      <c r="F2530" t="s">
        <v>117</v>
      </c>
      <c r="G2530" s="14">
        <v>31199.57</v>
      </c>
      <c r="H2530">
        <v>1385</v>
      </c>
      <c r="I2530">
        <v>22.53</v>
      </c>
      <c r="J2530">
        <v>37751.480000000003</v>
      </c>
    </row>
    <row r="2531" spans="1:10" x14ac:dyDescent="0.25">
      <c r="A2531" t="s">
        <v>400</v>
      </c>
      <c r="B2531" t="s">
        <v>88</v>
      </c>
      <c r="C2531" s="1">
        <v>45944</v>
      </c>
      <c r="D2531" t="s">
        <v>1223</v>
      </c>
      <c r="E2531" t="s">
        <v>136</v>
      </c>
      <c r="F2531" t="s">
        <v>23</v>
      </c>
      <c r="G2531" s="14">
        <v>103573</v>
      </c>
      <c r="H2531">
        <v>1385</v>
      </c>
      <c r="I2531">
        <v>74.78</v>
      </c>
      <c r="J2531">
        <v>125323.33</v>
      </c>
    </row>
    <row r="2532" spans="1:10" x14ac:dyDescent="0.25">
      <c r="A2532" t="s">
        <v>504</v>
      </c>
      <c r="B2532" t="s">
        <v>88</v>
      </c>
      <c r="C2532" s="1">
        <v>45944</v>
      </c>
      <c r="D2532" t="s">
        <v>1427</v>
      </c>
      <c r="E2532" t="s">
        <v>506</v>
      </c>
      <c r="F2532" t="s">
        <v>109</v>
      </c>
      <c r="G2532" s="14">
        <v>202652.22</v>
      </c>
      <c r="H2532">
        <v>1385</v>
      </c>
      <c r="I2532">
        <v>146.32</v>
      </c>
      <c r="J2532">
        <v>257368.32000000001</v>
      </c>
    </row>
    <row r="2533" spans="1:10" x14ac:dyDescent="0.25">
      <c r="A2533" t="s">
        <v>504</v>
      </c>
      <c r="B2533" t="s">
        <v>88</v>
      </c>
      <c r="C2533" s="1">
        <v>45944</v>
      </c>
      <c r="D2533" t="s">
        <v>1427</v>
      </c>
      <c r="E2533" t="s">
        <v>507</v>
      </c>
      <c r="F2533" t="s">
        <v>109</v>
      </c>
      <c r="G2533" s="14">
        <v>10665.79</v>
      </c>
      <c r="H2533">
        <v>1385</v>
      </c>
      <c r="I2533">
        <v>7.7</v>
      </c>
      <c r="J2533">
        <v>10665.79</v>
      </c>
    </row>
    <row r="2534" spans="1:10" x14ac:dyDescent="0.25">
      <c r="A2534" t="s">
        <v>510</v>
      </c>
      <c r="B2534" t="s">
        <v>96</v>
      </c>
      <c r="C2534" s="1">
        <v>45944</v>
      </c>
      <c r="D2534" t="s">
        <v>1429</v>
      </c>
      <c r="E2534" t="s">
        <v>127</v>
      </c>
      <c r="F2534" t="s">
        <v>117</v>
      </c>
      <c r="G2534" s="14">
        <v>2478.89</v>
      </c>
      <c r="H2534">
        <v>1385</v>
      </c>
      <c r="I2534">
        <v>1.79</v>
      </c>
      <c r="J2534">
        <v>2478.89</v>
      </c>
    </row>
    <row r="2535" spans="1:10" x14ac:dyDescent="0.25">
      <c r="A2535" t="s">
        <v>552</v>
      </c>
      <c r="B2535" t="s">
        <v>88</v>
      </c>
      <c r="C2535" s="1">
        <v>45944</v>
      </c>
      <c r="D2535" t="s">
        <v>1500</v>
      </c>
      <c r="E2535" t="s">
        <v>136</v>
      </c>
      <c r="F2535" t="s">
        <v>14</v>
      </c>
      <c r="G2535" s="14">
        <v>13437644.300000001</v>
      </c>
      <c r="H2535">
        <v>1385</v>
      </c>
      <c r="I2535">
        <v>9702.27</v>
      </c>
      <c r="J2535">
        <v>16259552.800000001</v>
      </c>
    </row>
    <row r="2536" spans="1:10" x14ac:dyDescent="0.25">
      <c r="A2536" t="s">
        <v>453</v>
      </c>
      <c r="B2536" t="s">
        <v>88</v>
      </c>
      <c r="C2536" s="1">
        <v>45943</v>
      </c>
      <c r="D2536" t="s">
        <v>1325</v>
      </c>
      <c r="E2536" t="s">
        <v>136</v>
      </c>
      <c r="F2536" t="s">
        <v>8</v>
      </c>
      <c r="G2536" s="14">
        <v>356360.8</v>
      </c>
      <c r="H2536">
        <v>1375</v>
      </c>
      <c r="I2536">
        <v>259.17</v>
      </c>
      <c r="J2536">
        <v>431196.57</v>
      </c>
    </row>
    <row r="2537" spans="1:10" x14ac:dyDescent="0.25">
      <c r="A2537" t="s">
        <v>483</v>
      </c>
      <c r="B2537" t="s">
        <v>88</v>
      </c>
      <c r="C2537" s="1">
        <v>45943</v>
      </c>
      <c r="D2537" t="s">
        <v>1379</v>
      </c>
      <c r="E2537" t="s">
        <v>136</v>
      </c>
      <c r="F2537" t="s">
        <v>135</v>
      </c>
      <c r="G2537" s="14">
        <v>275000</v>
      </c>
      <c r="H2537">
        <v>1375</v>
      </c>
      <c r="I2537">
        <v>200</v>
      </c>
      <c r="J2537">
        <v>332750</v>
      </c>
    </row>
    <row r="2538" spans="1:10" x14ac:dyDescent="0.25">
      <c r="A2538" t="s">
        <v>346</v>
      </c>
      <c r="B2538" t="s">
        <v>88</v>
      </c>
      <c r="C2538" s="1">
        <v>45942</v>
      </c>
      <c r="D2538" t="s">
        <v>1168</v>
      </c>
      <c r="E2538" t="s">
        <v>90</v>
      </c>
      <c r="F2538" t="s">
        <v>91</v>
      </c>
      <c r="G2538" s="14">
        <v>36225.160000000003</v>
      </c>
      <c r="H2538">
        <v>1450</v>
      </c>
      <c r="I2538">
        <v>24.98</v>
      </c>
      <c r="J2538">
        <v>43832.45</v>
      </c>
    </row>
    <row r="2539" spans="1:10" x14ac:dyDescent="0.25">
      <c r="A2539" t="s">
        <v>346</v>
      </c>
      <c r="B2539" t="s">
        <v>88</v>
      </c>
      <c r="C2539" s="1">
        <v>45942</v>
      </c>
      <c r="D2539" t="s">
        <v>1168</v>
      </c>
      <c r="E2539" t="s">
        <v>92</v>
      </c>
      <c r="F2539" t="s">
        <v>91</v>
      </c>
      <c r="G2539" s="14">
        <v>6167.53</v>
      </c>
      <c r="H2539">
        <v>1450</v>
      </c>
      <c r="I2539">
        <v>4.25</v>
      </c>
      <c r="J2539">
        <v>6167.53</v>
      </c>
    </row>
    <row r="2540" spans="1:10" x14ac:dyDescent="0.25">
      <c r="A2540" t="s">
        <v>935</v>
      </c>
      <c r="B2540" t="s">
        <v>88</v>
      </c>
      <c r="C2540" s="1">
        <v>45939</v>
      </c>
      <c r="D2540" t="s">
        <v>936</v>
      </c>
      <c r="E2540" t="s">
        <v>136</v>
      </c>
      <c r="F2540" t="s">
        <v>6</v>
      </c>
      <c r="G2540" s="14">
        <v>482453.4</v>
      </c>
      <c r="H2540">
        <v>1450</v>
      </c>
      <c r="I2540">
        <v>332.73</v>
      </c>
      <c r="J2540">
        <v>583768.9</v>
      </c>
    </row>
    <row r="2541" spans="1:10" x14ac:dyDescent="0.25">
      <c r="A2541" t="s">
        <v>156</v>
      </c>
      <c r="B2541" t="s">
        <v>96</v>
      </c>
      <c r="C2541" s="1">
        <v>45939</v>
      </c>
      <c r="D2541" t="s">
        <v>997</v>
      </c>
      <c r="E2541" t="s">
        <v>996</v>
      </c>
      <c r="F2541" t="s">
        <v>159</v>
      </c>
      <c r="G2541" s="14">
        <v>253128.5</v>
      </c>
      <c r="H2541">
        <v>1450</v>
      </c>
      <c r="I2541">
        <v>174.57</v>
      </c>
      <c r="J2541">
        <v>253128.5</v>
      </c>
    </row>
    <row r="2542" spans="1:10" x14ac:dyDescent="0.25">
      <c r="A2542" t="s">
        <v>246</v>
      </c>
      <c r="B2542" t="s">
        <v>88</v>
      </c>
      <c r="C2542" s="1">
        <v>45939</v>
      </c>
      <c r="D2542" t="s">
        <v>1076</v>
      </c>
      <c r="E2542" t="s">
        <v>114</v>
      </c>
      <c r="F2542" t="s">
        <v>117</v>
      </c>
      <c r="G2542" s="14">
        <v>7071.87</v>
      </c>
      <c r="H2542">
        <v>1450</v>
      </c>
      <c r="I2542">
        <v>4.88</v>
      </c>
      <c r="J2542">
        <v>8556.9599999999991</v>
      </c>
    </row>
    <row r="2543" spans="1:10" x14ac:dyDescent="0.25">
      <c r="A2543" t="s">
        <v>466</v>
      </c>
      <c r="B2543" t="s">
        <v>88</v>
      </c>
      <c r="C2543" s="1">
        <v>45939</v>
      </c>
      <c r="D2543" t="s">
        <v>1339</v>
      </c>
      <c r="E2543" t="s">
        <v>136</v>
      </c>
      <c r="F2543" t="s">
        <v>14</v>
      </c>
      <c r="G2543" s="14">
        <v>437437</v>
      </c>
      <c r="H2543">
        <v>1450</v>
      </c>
      <c r="I2543">
        <v>301.68</v>
      </c>
      <c r="J2543">
        <v>529300.19999999995</v>
      </c>
    </row>
    <row r="2544" spans="1:10" x14ac:dyDescent="0.25">
      <c r="A2544" t="s">
        <v>1362</v>
      </c>
      <c r="B2544" t="s">
        <v>88</v>
      </c>
      <c r="C2544" s="1">
        <v>45939</v>
      </c>
      <c r="D2544" t="s">
        <v>1368</v>
      </c>
      <c r="E2544" t="s">
        <v>136</v>
      </c>
      <c r="F2544" t="s">
        <v>14</v>
      </c>
      <c r="G2544" s="14">
        <v>3033180.31</v>
      </c>
      <c r="H2544">
        <v>1450</v>
      </c>
      <c r="I2544">
        <v>2091.85</v>
      </c>
      <c r="J2544">
        <v>3670148.18</v>
      </c>
    </row>
    <row r="2545" spans="1:10" x14ac:dyDescent="0.25">
      <c r="A2545" t="s">
        <v>182</v>
      </c>
      <c r="B2545" t="s">
        <v>88</v>
      </c>
      <c r="C2545" s="1">
        <v>45938</v>
      </c>
      <c r="D2545" t="s">
        <v>1033</v>
      </c>
      <c r="E2545" t="s">
        <v>136</v>
      </c>
      <c r="F2545" t="s">
        <v>8</v>
      </c>
      <c r="G2545" s="14">
        <v>8337</v>
      </c>
      <c r="H2545">
        <v>1455</v>
      </c>
      <c r="I2545">
        <v>5.73</v>
      </c>
      <c r="J2545">
        <v>10087.77</v>
      </c>
    </row>
    <row r="2546" spans="1:10" x14ac:dyDescent="0.25">
      <c r="A2546" t="s">
        <v>466</v>
      </c>
      <c r="B2546" t="s">
        <v>88</v>
      </c>
      <c r="C2546" s="1">
        <v>45938</v>
      </c>
      <c r="D2546" t="s">
        <v>1338</v>
      </c>
      <c r="E2546" t="s">
        <v>136</v>
      </c>
      <c r="F2546" t="s">
        <v>6</v>
      </c>
      <c r="G2546" s="14">
        <v>585809.1</v>
      </c>
      <c r="H2546">
        <v>1455</v>
      </c>
      <c r="I2546">
        <v>402.62</v>
      </c>
      <c r="J2546">
        <v>708831.87</v>
      </c>
    </row>
    <row r="2547" spans="1:10" x14ac:dyDescent="0.25">
      <c r="A2547" t="s">
        <v>515</v>
      </c>
      <c r="B2547" t="s">
        <v>88</v>
      </c>
      <c r="C2547" s="1">
        <v>45938</v>
      </c>
      <c r="D2547" t="s">
        <v>1451</v>
      </c>
      <c r="E2547" t="s">
        <v>184</v>
      </c>
      <c r="F2547" t="s">
        <v>14</v>
      </c>
      <c r="G2547" s="14">
        <v>33776</v>
      </c>
      <c r="H2547">
        <v>1455</v>
      </c>
      <c r="I2547">
        <v>23.21</v>
      </c>
      <c r="J2547">
        <v>40868.959999999999</v>
      </c>
    </row>
    <row r="2548" spans="1:10" x14ac:dyDescent="0.25">
      <c r="A2548" t="s">
        <v>533</v>
      </c>
      <c r="B2548" t="s">
        <v>88</v>
      </c>
      <c r="C2548" s="1">
        <v>45938</v>
      </c>
      <c r="D2548" t="s">
        <v>1479</v>
      </c>
      <c r="E2548" t="s">
        <v>653</v>
      </c>
      <c r="F2548" t="s">
        <v>117</v>
      </c>
      <c r="G2548" s="14">
        <v>9990.5</v>
      </c>
      <c r="H2548">
        <v>1455</v>
      </c>
      <c r="I2548">
        <v>6.87</v>
      </c>
      <c r="J2548">
        <v>12088.51</v>
      </c>
    </row>
    <row r="2549" spans="1:10" x14ac:dyDescent="0.25">
      <c r="A2549" t="s">
        <v>533</v>
      </c>
      <c r="B2549" t="s">
        <v>88</v>
      </c>
      <c r="C2549" s="1">
        <v>45938</v>
      </c>
      <c r="D2549" t="s">
        <v>1479</v>
      </c>
      <c r="E2549" t="s">
        <v>1000</v>
      </c>
      <c r="F2549" t="s">
        <v>117</v>
      </c>
      <c r="G2549" s="14">
        <v>11.5</v>
      </c>
      <c r="H2549">
        <v>1455</v>
      </c>
      <c r="I2549">
        <v>0.01</v>
      </c>
      <c r="J2549">
        <v>11.5</v>
      </c>
    </row>
    <row r="2550" spans="1:10" x14ac:dyDescent="0.25">
      <c r="A2550" t="s">
        <v>533</v>
      </c>
      <c r="B2550" t="s">
        <v>88</v>
      </c>
      <c r="C2550" s="1">
        <v>45938</v>
      </c>
      <c r="D2550" t="s">
        <v>1480</v>
      </c>
      <c r="E2550" t="s">
        <v>90</v>
      </c>
      <c r="F2550" t="s">
        <v>91</v>
      </c>
      <c r="G2550" s="14">
        <v>59633.22</v>
      </c>
      <c r="H2550">
        <v>1455</v>
      </c>
      <c r="I2550">
        <v>40.99</v>
      </c>
      <c r="J2550">
        <v>72156.210000000006</v>
      </c>
    </row>
    <row r="2551" spans="1:10" x14ac:dyDescent="0.25">
      <c r="A2551" t="s">
        <v>533</v>
      </c>
      <c r="B2551" t="s">
        <v>88</v>
      </c>
      <c r="C2551" s="1">
        <v>45938</v>
      </c>
      <c r="D2551" t="s">
        <v>1480</v>
      </c>
      <c r="E2551" t="s">
        <v>92</v>
      </c>
      <c r="F2551" t="s">
        <v>91</v>
      </c>
      <c r="G2551" s="14">
        <v>11943.88</v>
      </c>
      <c r="H2551">
        <v>1455</v>
      </c>
      <c r="I2551">
        <v>8.2100000000000009</v>
      </c>
      <c r="J2551">
        <v>11943.88</v>
      </c>
    </row>
    <row r="2552" spans="1:10" x14ac:dyDescent="0.25">
      <c r="A2552" t="s">
        <v>156</v>
      </c>
      <c r="B2552" t="s">
        <v>96</v>
      </c>
      <c r="C2552" s="1">
        <v>45937</v>
      </c>
      <c r="D2552" t="s">
        <v>995</v>
      </c>
      <c r="E2552" t="s">
        <v>996</v>
      </c>
      <c r="F2552" t="s">
        <v>159</v>
      </c>
      <c r="G2552" s="14">
        <v>265664.27</v>
      </c>
      <c r="H2552">
        <v>1455</v>
      </c>
      <c r="I2552">
        <v>182.59</v>
      </c>
      <c r="J2552">
        <v>265664.27</v>
      </c>
    </row>
    <row r="2553" spans="1:10" x14ac:dyDescent="0.25">
      <c r="A2553" t="s">
        <v>319</v>
      </c>
      <c r="B2553" t="s">
        <v>88</v>
      </c>
      <c r="C2553" s="1">
        <v>45937</v>
      </c>
      <c r="D2553" t="s">
        <v>1148</v>
      </c>
      <c r="E2553" t="s">
        <v>274</v>
      </c>
      <c r="F2553" t="s">
        <v>109</v>
      </c>
      <c r="G2553" s="14">
        <v>6446.28</v>
      </c>
      <c r="H2553">
        <v>1455</v>
      </c>
      <c r="I2553">
        <v>4.43</v>
      </c>
      <c r="J2553">
        <v>7800</v>
      </c>
    </row>
    <row r="2554" spans="1:10" x14ac:dyDescent="0.25">
      <c r="A2554" t="s">
        <v>1362</v>
      </c>
      <c r="B2554" t="s">
        <v>88</v>
      </c>
      <c r="C2554" s="1">
        <v>45937</v>
      </c>
      <c r="D2554" t="s">
        <v>1367</v>
      </c>
      <c r="E2554" t="s">
        <v>136</v>
      </c>
      <c r="F2554" t="s">
        <v>6</v>
      </c>
      <c r="G2554" s="14">
        <v>1438267.5</v>
      </c>
      <c r="H2554">
        <v>1455</v>
      </c>
      <c r="I2554">
        <v>988.5</v>
      </c>
      <c r="J2554">
        <v>1740303.68</v>
      </c>
    </row>
    <row r="2555" spans="1:10" x14ac:dyDescent="0.25">
      <c r="A2555" t="s">
        <v>175</v>
      </c>
      <c r="B2555" t="s">
        <v>88</v>
      </c>
      <c r="C2555" s="1">
        <v>45936</v>
      </c>
      <c r="D2555" t="s">
        <v>1026</v>
      </c>
      <c r="E2555" t="s">
        <v>177</v>
      </c>
      <c r="F2555" t="s">
        <v>109</v>
      </c>
      <c r="G2555" s="14">
        <v>34690.629999999997</v>
      </c>
      <c r="H2555">
        <v>1455</v>
      </c>
      <c r="I2555">
        <v>23.84</v>
      </c>
      <c r="J2555">
        <v>44057.1</v>
      </c>
    </row>
    <row r="2556" spans="1:10" x14ac:dyDescent="0.25">
      <c r="A2556" t="s">
        <v>175</v>
      </c>
      <c r="B2556" t="s">
        <v>88</v>
      </c>
      <c r="C2556" s="1">
        <v>45936</v>
      </c>
      <c r="D2556" t="s">
        <v>1026</v>
      </c>
      <c r="E2556" t="s">
        <v>180</v>
      </c>
      <c r="F2556" t="s">
        <v>109</v>
      </c>
      <c r="G2556" s="14">
        <v>762.92</v>
      </c>
      <c r="H2556">
        <v>1455</v>
      </c>
      <c r="I2556">
        <v>0.52</v>
      </c>
      <c r="J2556">
        <v>762.92</v>
      </c>
    </row>
    <row r="2557" spans="1:10" x14ac:dyDescent="0.25">
      <c r="A2557" t="s">
        <v>1193</v>
      </c>
      <c r="B2557" t="s">
        <v>88</v>
      </c>
      <c r="C2557" s="1">
        <v>45936</v>
      </c>
      <c r="D2557" t="s">
        <v>1194</v>
      </c>
      <c r="E2557" t="s">
        <v>184</v>
      </c>
      <c r="F2557" t="s">
        <v>8</v>
      </c>
      <c r="G2557" s="14">
        <v>15000</v>
      </c>
      <c r="H2557">
        <v>1455</v>
      </c>
      <c r="I2557">
        <v>10.31</v>
      </c>
      <c r="J2557">
        <v>18150</v>
      </c>
    </row>
    <row r="2558" spans="1:10" x14ac:dyDescent="0.25">
      <c r="A2558" t="s">
        <v>501</v>
      </c>
      <c r="B2558" t="s">
        <v>88</v>
      </c>
      <c r="C2558" s="1">
        <v>45936</v>
      </c>
      <c r="D2558" t="s">
        <v>1406</v>
      </c>
      <c r="E2558" t="s">
        <v>205</v>
      </c>
      <c r="F2558" t="s">
        <v>109</v>
      </c>
      <c r="G2558" s="14">
        <v>218287.2</v>
      </c>
      <c r="H2558">
        <v>1455</v>
      </c>
      <c r="I2558">
        <v>150.03</v>
      </c>
      <c r="J2558">
        <v>264127.51</v>
      </c>
    </row>
    <row r="2559" spans="1:10" x14ac:dyDescent="0.25">
      <c r="A2559" t="s">
        <v>512</v>
      </c>
      <c r="B2559" t="s">
        <v>88</v>
      </c>
      <c r="C2559" s="1">
        <v>45936</v>
      </c>
      <c r="D2559" t="s">
        <v>1445</v>
      </c>
      <c r="E2559" t="s">
        <v>136</v>
      </c>
      <c r="F2559" t="s">
        <v>8</v>
      </c>
      <c r="G2559" s="14">
        <v>191835</v>
      </c>
      <c r="H2559">
        <v>1455</v>
      </c>
      <c r="I2559">
        <v>131.85</v>
      </c>
      <c r="J2559">
        <v>232120.35</v>
      </c>
    </row>
    <row r="2560" spans="1:10" x14ac:dyDescent="0.25">
      <c r="A2560" t="s">
        <v>182</v>
      </c>
      <c r="B2560" t="s">
        <v>88</v>
      </c>
      <c r="C2560" s="1">
        <v>45934</v>
      </c>
      <c r="D2560" t="s">
        <v>1029</v>
      </c>
      <c r="E2560" t="s">
        <v>184</v>
      </c>
      <c r="F2560" t="s">
        <v>19</v>
      </c>
      <c r="G2560" s="14">
        <v>15135.39</v>
      </c>
      <c r="H2560">
        <v>1450</v>
      </c>
      <c r="I2560">
        <v>10.44</v>
      </c>
      <c r="J2560">
        <v>18313.82</v>
      </c>
    </row>
    <row r="2561" spans="1:10" x14ac:dyDescent="0.25">
      <c r="A2561" t="s">
        <v>426</v>
      </c>
      <c r="B2561" t="s">
        <v>88</v>
      </c>
      <c r="C2561" s="1">
        <v>45934</v>
      </c>
      <c r="D2561" t="s">
        <v>1269</v>
      </c>
      <c r="E2561" t="s">
        <v>136</v>
      </c>
      <c r="F2561" t="s">
        <v>14</v>
      </c>
      <c r="G2561" s="14">
        <v>2968164.52</v>
      </c>
      <c r="H2561">
        <v>1450</v>
      </c>
      <c r="I2561">
        <v>2047.01</v>
      </c>
      <c r="J2561">
        <v>3591479.07</v>
      </c>
    </row>
    <row r="2562" spans="1:10" x14ac:dyDescent="0.25">
      <c r="A2562" t="s">
        <v>265</v>
      </c>
      <c r="B2562" t="s">
        <v>88</v>
      </c>
      <c r="C2562" s="1">
        <v>45933</v>
      </c>
      <c r="D2562" t="s">
        <v>1108</v>
      </c>
      <c r="E2562" t="s">
        <v>267</v>
      </c>
      <c r="F2562" t="s">
        <v>109</v>
      </c>
      <c r="G2562" s="14">
        <v>73600</v>
      </c>
      <c r="H2562">
        <v>1450</v>
      </c>
      <c r="I2562">
        <v>50.76</v>
      </c>
      <c r="J2562">
        <v>89056</v>
      </c>
    </row>
    <row r="2563" spans="1:10" x14ac:dyDescent="0.25">
      <c r="A2563" t="s">
        <v>383</v>
      </c>
      <c r="B2563" t="s">
        <v>88</v>
      </c>
      <c r="C2563" s="1">
        <v>45933</v>
      </c>
      <c r="D2563" t="s">
        <v>1200</v>
      </c>
      <c r="E2563" t="s">
        <v>136</v>
      </c>
      <c r="F2563" t="s">
        <v>17</v>
      </c>
      <c r="G2563" s="14">
        <v>269964.87</v>
      </c>
      <c r="H2563">
        <v>1450</v>
      </c>
      <c r="I2563">
        <v>186.18</v>
      </c>
      <c r="J2563">
        <v>326657.49</v>
      </c>
    </row>
    <row r="2564" spans="1:10" x14ac:dyDescent="0.25">
      <c r="A2564" t="s">
        <v>1208</v>
      </c>
      <c r="B2564" t="s">
        <v>88</v>
      </c>
      <c r="C2564" s="1">
        <v>45933</v>
      </c>
      <c r="D2564" t="s">
        <v>1209</v>
      </c>
      <c r="E2564" t="s">
        <v>136</v>
      </c>
      <c r="F2564" t="s">
        <v>17</v>
      </c>
      <c r="G2564" s="14">
        <v>33321</v>
      </c>
      <c r="H2564">
        <v>1450</v>
      </c>
      <c r="I2564">
        <v>22.98</v>
      </c>
      <c r="J2564">
        <v>40318.410000000003</v>
      </c>
    </row>
    <row r="2565" spans="1:10" x14ac:dyDescent="0.25">
      <c r="A2565" t="s">
        <v>504</v>
      </c>
      <c r="B2565" t="s">
        <v>88</v>
      </c>
      <c r="C2565" s="1">
        <v>45933</v>
      </c>
      <c r="D2565" t="s">
        <v>1421</v>
      </c>
      <c r="E2565" t="s">
        <v>422</v>
      </c>
      <c r="F2565" t="s">
        <v>109</v>
      </c>
      <c r="G2565" s="14">
        <v>49547</v>
      </c>
      <c r="H2565">
        <v>1450</v>
      </c>
      <c r="I2565">
        <v>34.17</v>
      </c>
      <c r="J2565">
        <v>59951.87</v>
      </c>
    </row>
    <row r="2566" spans="1:10" x14ac:dyDescent="0.25">
      <c r="A2566" t="s">
        <v>182</v>
      </c>
      <c r="B2566" t="s">
        <v>88</v>
      </c>
      <c r="C2566" s="1">
        <v>45932</v>
      </c>
      <c r="D2566" t="s">
        <v>1027</v>
      </c>
      <c r="E2566" t="s">
        <v>184</v>
      </c>
      <c r="F2566" t="s">
        <v>19</v>
      </c>
      <c r="G2566" s="14">
        <v>26893.3</v>
      </c>
      <c r="H2566">
        <v>1450</v>
      </c>
      <c r="I2566">
        <v>18.55</v>
      </c>
      <c r="J2566">
        <v>32540.89</v>
      </c>
    </row>
    <row r="2567" spans="1:10" x14ac:dyDescent="0.25">
      <c r="A2567" t="s">
        <v>1320</v>
      </c>
      <c r="B2567" t="s">
        <v>88</v>
      </c>
      <c r="C2567" s="1">
        <v>45932</v>
      </c>
      <c r="D2567" t="s">
        <v>1321</v>
      </c>
      <c r="E2567" t="s">
        <v>136</v>
      </c>
      <c r="G2567" s="14">
        <v>1641864</v>
      </c>
      <c r="H2567">
        <v>1450</v>
      </c>
      <c r="I2567">
        <v>1132.32</v>
      </c>
      <c r="J2567">
        <v>1986659.5</v>
      </c>
    </row>
    <row r="2568" spans="1:10" x14ac:dyDescent="0.25">
      <c r="A2568" t="s">
        <v>1362</v>
      </c>
      <c r="B2568" t="s">
        <v>279</v>
      </c>
      <c r="C2568" s="1">
        <v>45932</v>
      </c>
      <c r="D2568" t="s">
        <v>1373</v>
      </c>
      <c r="E2568" t="s">
        <v>944</v>
      </c>
      <c r="G2568" s="14">
        <v>-399053.08</v>
      </c>
      <c r="H2568">
        <v>1450</v>
      </c>
      <c r="I2568">
        <v>-275.20999999999998</v>
      </c>
      <c r="J2568">
        <v>-482854.23</v>
      </c>
    </row>
    <row r="2569" spans="1:10" x14ac:dyDescent="0.25">
      <c r="A2569" t="s">
        <v>1362</v>
      </c>
      <c r="B2569" t="s">
        <v>470</v>
      </c>
      <c r="C2569" s="1">
        <v>45932</v>
      </c>
      <c r="D2569" t="s">
        <v>1377</v>
      </c>
      <c r="E2569" t="s">
        <v>944</v>
      </c>
      <c r="G2569" s="14">
        <v>399053.08</v>
      </c>
      <c r="H2569">
        <v>1450</v>
      </c>
      <c r="I2569">
        <v>275.20999999999998</v>
      </c>
      <c r="J2569">
        <v>482854.23</v>
      </c>
    </row>
    <row r="2570" spans="1:10" x14ac:dyDescent="0.25">
      <c r="A2570" t="s">
        <v>1362</v>
      </c>
      <c r="B2570" t="s">
        <v>470</v>
      </c>
      <c r="C2570" s="1">
        <v>45932</v>
      </c>
      <c r="D2570" t="s">
        <v>1378</v>
      </c>
      <c r="E2570" t="s">
        <v>944</v>
      </c>
      <c r="G2570" s="14">
        <v>209026.74</v>
      </c>
      <c r="H2570">
        <v>1450</v>
      </c>
      <c r="I2570">
        <v>144.16</v>
      </c>
      <c r="J2570">
        <v>252922.36</v>
      </c>
    </row>
    <row r="2571" spans="1:10" x14ac:dyDescent="0.25">
      <c r="A2571" t="s">
        <v>533</v>
      </c>
      <c r="B2571" t="s">
        <v>88</v>
      </c>
      <c r="C2571" s="1">
        <v>45932</v>
      </c>
      <c r="D2571" t="s">
        <v>1474</v>
      </c>
      <c r="E2571" t="s">
        <v>90</v>
      </c>
      <c r="F2571" t="s">
        <v>91</v>
      </c>
      <c r="G2571" s="14">
        <v>24704.77</v>
      </c>
      <c r="H2571">
        <v>1450</v>
      </c>
      <c r="I2571">
        <v>17.04</v>
      </c>
      <c r="J2571">
        <v>29892.78</v>
      </c>
    </row>
    <row r="2572" spans="1:10" x14ac:dyDescent="0.25">
      <c r="A2572" t="s">
        <v>533</v>
      </c>
      <c r="B2572" t="s">
        <v>88</v>
      </c>
      <c r="C2572" s="1">
        <v>45932</v>
      </c>
      <c r="D2572" t="s">
        <v>1474</v>
      </c>
      <c r="E2572" t="s">
        <v>92</v>
      </c>
      <c r="F2572" t="s">
        <v>91</v>
      </c>
      <c r="G2572" s="14">
        <v>6107.2</v>
      </c>
      <c r="H2572">
        <v>1450</v>
      </c>
      <c r="I2572">
        <v>4.21</v>
      </c>
      <c r="J2572">
        <v>6107.2</v>
      </c>
    </row>
    <row r="2573" spans="1:10" x14ac:dyDescent="0.25">
      <c r="A2573" t="s">
        <v>106</v>
      </c>
      <c r="B2573" t="s">
        <v>88</v>
      </c>
      <c r="C2573" s="1">
        <v>45931</v>
      </c>
      <c r="D2573" t="s">
        <v>949</v>
      </c>
      <c r="E2573" t="s">
        <v>102</v>
      </c>
      <c r="F2573" t="s">
        <v>109</v>
      </c>
      <c r="G2573" s="14">
        <v>54556</v>
      </c>
      <c r="H2573">
        <v>1450</v>
      </c>
      <c r="I2573">
        <v>37.619999999999997</v>
      </c>
      <c r="J2573">
        <v>54556</v>
      </c>
    </row>
    <row r="2574" spans="1:10" x14ac:dyDescent="0.25">
      <c r="A2574" t="s">
        <v>955</v>
      </c>
      <c r="B2574" t="s">
        <v>88</v>
      </c>
      <c r="C2574" s="1">
        <v>45931</v>
      </c>
      <c r="D2574" t="s">
        <v>956</v>
      </c>
      <c r="E2574" t="s">
        <v>136</v>
      </c>
      <c r="F2574" t="s">
        <v>135</v>
      </c>
      <c r="G2574" s="14">
        <v>1431864</v>
      </c>
      <c r="H2574">
        <v>1450</v>
      </c>
      <c r="I2574">
        <v>987.49</v>
      </c>
      <c r="J2574">
        <v>1732555.44</v>
      </c>
    </row>
    <row r="2575" spans="1:10" x14ac:dyDescent="0.25">
      <c r="A2575" t="s">
        <v>112</v>
      </c>
      <c r="B2575" t="s">
        <v>88</v>
      </c>
      <c r="C2575" s="1">
        <v>45931</v>
      </c>
      <c r="D2575" t="s">
        <v>959</v>
      </c>
      <c r="E2575" t="s">
        <v>114</v>
      </c>
      <c r="F2575" t="s">
        <v>117</v>
      </c>
      <c r="G2575" s="14">
        <v>1155.52</v>
      </c>
      <c r="H2575">
        <v>1450</v>
      </c>
      <c r="I2575">
        <v>0.8</v>
      </c>
      <c r="J2575">
        <v>1398.18</v>
      </c>
    </row>
    <row r="2576" spans="1:10" x14ac:dyDescent="0.25">
      <c r="A2576" t="s">
        <v>132</v>
      </c>
      <c r="B2576" t="s">
        <v>88</v>
      </c>
      <c r="C2576" s="1">
        <v>45931</v>
      </c>
      <c r="D2576" t="s">
        <v>974</v>
      </c>
      <c r="E2576" t="s">
        <v>136</v>
      </c>
      <c r="F2576" t="s">
        <v>6</v>
      </c>
      <c r="G2576" s="14">
        <v>81231.34</v>
      </c>
      <c r="H2576">
        <v>1450</v>
      </c>
      <c r="I2576">
        <v>56.02</v>
      </c>
      <c r="J2576">
        <v>98289.919999999998</v>
      </c>
    </row>
    <row r="2577" spans="1:10" x14ac:dyDescent="0.25">
      <c r="A2577" t="s">
        <v>275</v>
      </c>
      <c r="B2577" t="s">
        <v>88</v>
      </c>
      <c r="C2577" s="1">
        <v>45931</v>
      </c>
      <c r="D2577" t="s">
        <v>1114</v>
      </c>
      <c r="E2577" t="s">
        <v>90</v>
      </c>
      <c r="F2577" t="s">
        <v>91</v>
      </c>
      <c r="G2577" s="14">
        <v>933067.51</v>
      </c>
      <c r="H2577">
        <v>1450</v>
      </c>
      <c r="I2577">
        <v>643.49</v>
      </c>
      <c r="J2577">
        <v>1129011.7</v>
      </c>
    </row>
    <row r="2578" spans="1:10" x14ac:dyDescent="0.25">
      <c r="A2578" t="s">
        <v>275</v>
      </c>
      <c r="B2578" t="s">
        <v>88</v>
      </c>
      <c r="C2578" s="1">
        <v>45931</v>
      </c>
      <c r="D2578" t="s">
        <v>1114</v>
      </c>
      <c r="E2578" t="s">
        <v>92</v>
      </c>
      <c r="F2578" t="s">
        <v>91</v>
      </c>
      <c r="G2578" s="14">
        <v>163971.9</v>
      </c>
      <c r="H2578">
        <v>1450</v>
      </c>
      <c r="I2578">
        <v>113.08</v>
      </c>
      <c r="J2578">
        <v>163971.9</v>
      </c>
    </row>
    <row r="2579" spans="1:10" x14ac:dyDescent="0.25">
      <c r="A2579" t="s">
        <v>364</v>
      </c>
      <c r="B2579" t="s">
        <v>88</v>
      </c>
      <c r="C2579" s="1">
        <v>45931</v>
      </c>
      <c r="D2579" t="s">
        <v>1182</v>
      </c>
      <c r="E2579" t="s">
        <v>102</v>
      </c>
      <c r="F2579" t="s">
        <v>109</v>
      </c>
      <c r="G2579" s="14">
        <v>15000</v>
      </c>
      <c r="H2579">
        <v>1450</v>
      </c>
      <c r="I2579">
        <v>10.34</v>
      </c>
      <c r="J2579">
        <v>15000</v>
      </c>
    </row>
    <row r="2580" spans="1:10" x14ac:dyDescent="0.25">
      <c r="A2580" t="s">
        <v>791</v>
      </c>
      <c r="B2580" t="s">
        <v>96</v>
      </c>
      <c r="C2580" s="1">
        <v>45931</v>
      </c>
      <c r="D2580" t="s">
        <v>1248</v>
      </c>
      <c r="E2580" t="s">
        <v>98</v>
      </c>
      <c r="F2580" t="s">
        <v>793</v>
      </c>
      <c r="G2580" s="14">
        <v>3030.62</v>
      </c>
      <c r="H2580">
        <v>1450</v>
      </c>
      <c r="I2580">
        <v>2.09</v>
      </c>
      <c r="J2580">
        <v>3030.62</v>
      </c>
    </row>
    <row r="2581" spans="1:10" x14ac:dyDescent="0.25">
      <c r="A2581" t="s">
        <v>791</v>
      </c>
      <c r="B2581" t="s">
        <v>96</v>
      </c>
      <c r="C2581" s="1">
        <v>45931</v>
      </c>
      <c r="D2581" t="s">
        <v>785</v>
      </c>
      <c r="E2581" t="s">
        <v>98</v>
      </c>
      <c r="F2581" t="s">
        <v>551</v>
      </c>
      <c r="G2581" s="14">
        <v>29669.07</v>
      </c>
      <c r="H2581">
        <v>1450</v>
      </c>
      <c r="I2581">
        <v>20.46</v>
      </c>
      <c r="J2581">
        <v>29669.07</v>
      </c>
    </row>
    <row r="2582" spans="1:10" x14ac:dyDescent="0.25">
      <c r="A2582" t="s">
        <v>438</v>
      </c>
      <c r="B2582" t="s">
        <v>88</v>
      </c>
      <c r="C2582" s="1">
        <v>45931</v>
      </c>
      <c r="D2582" t="s">
        <v>1299</v>
      </c>
      <c r="E2582" t="s">
        <v>440</v>
      </c>
      <c r="F2582" t="s">
        <v>109</v>
      </c>
      <c r="G2582" s="14">
        <v>144000</v>
      </c>
      <c r="H2582">
        <v>1450</v>
      </c>
      <c r="I2582">
        <v>99.31</v>
      </c>
      <c r="J2582">
        <v>144000</v>
      </c>
    </row>
    <row r="2583" spans="1:10" x14ac:dyDescent="0.25">
      <c r="A2583" t="s">
        <v>478</v>
      </c>
      <c r="B2583" t="s">
        <v>88</v>
      </c>
      <c r="C2583" s="1">
        <v>45931</v>
      </c>
      <c r="D2583" t="s">
        <v>1359</v>
      </c>
      <c r="E2583" t="s">
        <v>267</v>
      </c>
      <c r="F2583" t="s">
        <v>109</v>
      </c>
      <c r="G2583" s="14">
        <v>17838.84</v>
      </c>
      <c r="H2583">
        <v>1450</v>
      </c>
      <c r="I2583">
        <v>12.3</v>
      </c>
      <c r="J2583">
        <v>21585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nuevas_facturas">
                <anchor moveWithCells="1" sizeWithCells="1">
                  <from>
                    <xdr:col>10</xdr:col>
                    <xdr:colOff>314325</xdr:colOff>
                    <xdr:row>5</xdr:row>
                    <xdr:rowOff>76200</xdr:rowOff>
                  </from>
                  <to>
                    <xdr:col>12</xdr:col>
                    <xdr:colOff>495300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larizar_Facturas_Existentes">
                <anchor moveWithCells="1" sizeWithCells="1">
                  <from>
                    <xdr:col>10</xdr:col>
                    <xdr:colOff>314325</xdr:colOff>
                    <xdr:row>8</xdr:row>
                    <xdr:rowOff>66675</xdr:rowOff>
                  </from>
                  <to>
                    <xdr:col>12</xdr:col>
                    <xdr:colOff>495300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E849-D1A2-4DB5-AEA6-39F20B4B680F}">
  <sheetPr codeName="Hoja2"/>
  <dimension ref="A1:G39"/>
  <sheetViews>
    <sheetView tabSelected="1" workbookViewId="0">
      <selection activeCell="G32" sqref="A32:G32"/>
    </sheetView>
  </sheetViews>
  <sheetFormatPr baseColWidth="10" defaultRowHeight="15" x14ac:dyDescent="0.25"/>
  <cols>
    <col min="1" max="1" width="32.85546875" bestFit="1" customWidth="1"/>
    <col min="2" max="2" width="123.85546875" customWidth="1"/>
    <col min="3" max="3" width="15.5703125" bestFit="1" customWidth="1"/>
    <col min="4" max="4" width="13.5703125" bestFit="1" customWidth="1"/>
    <col min="5" max="6" width="16.7109375" bestFit="1" customWidth="1"/>
    <col min="7" max="7" width="15.5703125" bestFit="1" customWidth="1"/>
  </cols>
  <sheetData>
    <row r="1" spans="1:7" x14ac:dyDescent="0.25">
      <c r="A1" t="s">
        <v>5</v>
      </c>
      <c r="B1" t="s">
        <v>32</v>
      </c>
      <c r="C1" t="s">
        <v>29</v>
      </c>
      <c r="D1" t="s">
        <v>36</v>
      </c>
      <c r="E1" t="s">
        <v>44</v>
      </c>
      <c r="F1" t="s">
        <v>46</v>
      </c>
      <c r="G1" t="s">
        <v>76</v>
      </c>
    </row>
    <row r="2" spans="1:7" x14ac:dyDescent="0.25">
      <c r="A2" s="3" t="s">
        <v>6</v>
      </c>
      <c r="B2" s="3" t="s">
        <v>47</v>
      </c>
      <c r="C2" s="4">
        <f>[1]Resumen!$T$3</f>
        <v>87389.15357282052</v>
      </c>
      <c r="D2" s="5">
        <f>+[1]Resumen!$T$1</f>
        <v>1195</v>
      </c>
      <c r="E2" s="5">
        <f>C2*D2</f>
        <v>104430038.51952052</v>
      </c>
      <c r="F2" s="5">
        <f>SUMIF(Facturas!F:F, A2, Facturas!G:G)</f>
        <v>90273315.049999997</v>
      </c>
      <c r="G2" s="12">
        <f>SUMIF(Facturas!F:F, A2, Facturas!I:I)</f>
        <v>63552.320000000014</v>
      </c>
    </row>
    <row r="3" spans="1:7" x14ac:dyDescent="0.25">
      <c r="A3" s="3" t="s">
        <v>7</v>
      </c>
      <c r="B3" s="3" t="s">
        <v>48</v>
      </c>
      <c r="C3" s="4">
        <f>[2]Resumen!$T$3</f>
        <v>3862.54</v>
      </c>
      <c r="D3" s="5">
        <f>+[2]Resumen!$T$1</f>
        <v>1052.5</v>
      </c>
      <c r="E3" s="5">
        <f t="shared" ref="E3:E17" si="0">C3*D3</f>
        <v>4065323.35</v>
      </c>
      <c r="F3" s="5">
        <f>SUMIF(Facturas!F:F, A3, Facturas!G:G)</f>
        <v>2846848.61</v>
      </c>
      <c r="G3" s="4">
        <f>SUMIF(Facturas!F:F, A3, Facturas!I:I)</f>
        <v>2151.69</v>
      </c>
    </row>
    <row r="4" spans="1:7" x14ac:dyDescent="0.25">
      <c r="A4" s="3" t="s">
        <v>9</v>
      </c>
      <c r="B4" s="3" t="s">
        <v>49</v>
      </c>
      <c r="C4" s="4">
        <f>+[3]Resumen!$T$3</f>
        <v>23049.875314113513</v>
      </c>
      <c r="D4" s="5">
        <f>+[3]Resumen!$T$1</f>
        <v>995.5</v>
      </c>
      <c r="E4" s="5">
        <f t="shared" si="0"/>
        <v>22946150.875200003</v>
      </c>
      <c r="F4" s="5">
        <f>SUMIF(Facturas!F:F, A4, Facturas!G:G)</f>
        <v>15557846.329999998</v>
      </c>
      <c r="G4" s="4">
        <f>SUMIF(Facturas!F:F, A4, Facturas!I:I)</f>
        <v>13985.318204121919</v>
      </c>
    </row>
    <row r="5" spans="1:7" x14ac:dyDescent="0.25">
      <c r="A5" s="3" t="s">
        <v>10</v>
      </c>
      <c r="B5" s="3" t="s">
        <v>50</v>
      </c>
      <c r="C5" s="4">
        <f>+[4]Resumen!$T$3</f>
        <v>2530.9549599023462</v>
      </c>
      <c r="D5" s="5">
        <f>+[4]Resumen!$T$1</f>
        <v>864</v>
      </c>
      <c r="E5" s="5">
        <f t="shared" si="0"/>
        <v>2186745.0853556274</v>
      </c>
      <c r="F5" s="5">
        <f>SUMIF(Facturas!F:F, A5, Facturas!G:G)</f>
        <v>1879080.07</v>
      </c>
      <c r="G5" s="4">
        <f>SUMIF(Facturas!F:F, A5, Facturas!I:I)</f>
        <v>1713.9427641539589</v>
      </c>
    </row>
    <row r="6" spans="1:7" x14ac:dyDescent="0.25">
      <c r="A6" s="3" t="s">
        <v>11</v>
      </c>
      <c r="B6" s="3" t="s">
        <v>51</v>
      </c>
      <c r="C6" s="4">
        <f>+[5]Resumen!$T$3</f>
        <v>24039.964112149537</v>
      </c>
      <c r="D6" s="5">
        <f>+[5]Resumen!$T$1</f>
        <v>1070</v>
      </c>
      <c r="E6" s="5">
        <f t="shared" si="0"/>
        <v>25722761.600000005</v>
      </c>
      <c r="F6" s="5">
        <f>SUMIF(Facturas!F:F, A6, Facturas!G:G)</f>
        <v>23914050.370000005</v>
      </c>
      <c r="G6" s="4">
        <f>SUMIF(Facturas!F:F, A6, Facturas!I:I)</f>
        <v>21503.664565891864</v>
      </c>
    </row>
    <row r="7" spans="1:7" x14ac:dyDescent="0.25">
      <c r="A7" s="3" t="s">
        <v>12</v>
      </c>
      <c r="B7" s="3" t="s">
        <v>52</v>
      </c>
      <c r="C7" s="4">
        <f>+[6]Resumen!$T$3</f>
        <v>1264.8240107692914</v>
      </c>
      <c r="D7" s="5">
        <f>+[6]Resumen!$T$1</f>
        <v>1124</v>
      </c>
      <c r="E7" s="5">
        <f t="shared" si="0"/>
        <v>1421662.1881046835</v>
      </c>
      <c r="F7" s="5">
        <f>SUMIF(Facturas!F:F, A7, Facturas!G:G)</f>
        <v>769929.54</v>
      </c>
      <c r="G7" s="4">
        <f>SUMIF(Facturas!F:F, A7, Facturas!I:I)</f>
        <v>642.36</v>
      </c>
    </row>
    <row r="8" spans="1:7" x14ac:dyDescent="0.25">
      <c r="A8" s="3" t="s">
        <v>14</v>
      </c>
      <c r="B8" s="3" t="s">
        <v>53</v>
      </c>
      <c r="C8" s="4">
        <f>+'[7]Tabla Resumen'!$G$2</f>
        <v>20913.170122746633</v>
      </c>
      <c r="D8" s="5">
        <f>+'[7]Tabla Resumen'!$E$2</f>
        <v>1409</v>
      </c>
      <c r="E8" s="5">
        <f t="shared" si="0"/>
        <v>29466656.702950004</v>
      </c>
      <c r="F8" s="5">
        <f>SUMIF(Facturas!F:F, A8, Facturas!G:G)</f>
        <v>27981002.309999999</v>
      </c>
      <c r="G8" s="4">
        <f>SUMIF(Facturas!F:F, A8, Facturas!I:I)</f>
        <v>19680.009999999998</v>
      </c>
    </row>
    <row r="9" spans="1:7" x14ac:dyDescent="0.25">
      <c r="A9" s="3" t="s">
        <v>15</v>
      </c>
      <c r="B9" s="3" t="s">
        <v>54</v>
      </c>
      <c r="C9" s="4">
        <f>+[8]Resumen!$T$3</f>
        <v>20866.626139925378</v>
      </c>
      <c r="D9" s="5">
        <f>+'[8]3'!$L$1</f>
        <v>1072</v>
      </c>
      <c r="E9" s="5">
        <f t="shared" ref="E9:E13" si="1">C9*D9</f>
        <v>22369023.222000007</v>
      </c>
      <c r="F9" s="5">
        <f>SUMIF(Facturas!F:F, A9, Facturas!G:G)</f>
        <v>24900770.75</v>
      </c>
      <c r="G9" s="4">
        <f>SUMIF(Facturas!F:F, A9, Facturas!I:I)</f>
        <v>20263.620000000003</v>
      </c>
    </row>
    <row r="10" spans="1:7" x14ac:dyDescent="0.25">
      <c r="A10" s="3" t="s">
        <v>16</v>
      </c>
      <c r="B10" s="3" t="s">
        <v>55</v>
      </c>
      <c r="C10" s="4">
        <f>+[9]Resumen!$T$3</f>
        <v>2274.5403962105238</v>
      </c>
      <c r="D10" s="5">
        <f>+[9]Resumen!$T$1</f>
        <v>991</v>
      </c>
      <c r="E10" s="5">
        <f t="shared" si="1"/>
        <v>2254069.532644629</v>
      </c>
      <c r="F10" s="5">
        <f>SUMIF(Facturas!F:F, A10, Facturas!G:G)</f>
        <v>955831.15</v>
      </c>
      <c r="G10" s="4">
        <f>SUMIF(Facturas!F:F, A10, Facturas!I:I)</f>
        <v>887.8104222196647</v>
      </c>
    </row>
    <row r="11" spans="1:7" x14ac:dyDescent="0.25">
      <c r="A11" s="3" t="s">
        <v>17</v>
      </c>
      <c r="B11" s="3" t="s">
        <v>56</v>
      </c>
      <c r="C11" s="4">
        <f>+[10]Resumen!$T$3</f>
        <v>2267.0185866201086</v>
      </c>
      <c r="D11" s="5">
        <v>1325</v>
      </c>
      <c r="E11" s="5">
        <f t="shared" si="1"/>
        <v>3003799.6272716438</v>
      </c>
      <c r="F11" s="5">
        <f>SUMIF(Facturas!F:F, A11, Facturas!G:G)</f>
        <v>2851791.9099999997</v>
      </c>
      <c r="G11" s="4">
        <f>SUMIF(Facturas!F:F, A11, Facturas!I:I)</f>
        <v>1920.3400000000001</v>
      </c>
    </row>
    <row r="12" spans="1:7" x14ac:dyDescent="0.25">
      <c r="A12" s="3" t="s">
        <v>18</v>
      </c>
      <c r="B12" s="3" t="s">
        <v>57</v>
      </c>
      <c r="C12" s="4">
        <f>+[11]Resumen!$T$3</f>
        <v>2806.8467792867705</v>
      </c>
      <c r="D12" s="5">
        <f>+[11]Resumen!$T$1</f>
        <v>1048</v>
      </c>
      <c r="E12" s="5">
        <f t="shared" si="1"/>
        <v>2941575.4246925353</v>
      </c>
      <c r="F12" s="5">
        <f>SUMIF(Facturas!F:F, A12, Facturas!G:G)</f>
        <v>2396018.66</v>
      </c>
      <c r="G12" s="4">
        <f>SUMIF(Facturas!F:F, A12, Facturas!I:I)</f>
        <v>2229.5888722831764</v>
      </c>
    </row>
    <row r="13" spans="1:7" x14ac:dyDescent="0.25">
      <c r="A13" s="3" t="s">
        <v>20</v>
      </c>
      <c r="B13" s="3" t="s">
        <v>58</v>
      </c>
      <c r="C13" s="4">
        <f>+[12]Resumen!$T$3</f>
        <v>4286.9601612777406</v>
      </c>
      <c r="D13" s="5">
        <f>+[12]Resumen!$T$1</f>
        <v>1068</v>
      </c>
      <c r="E13" s="5">
        <f t="shared" si="1"/>
        <v>4578473.4522446273</v>
      </c>
      <c r="F13" s="5">
        <f>SUMIF(Facturas!F:F, A13, Facturas!G:G)</f>
        <v>3704084.67</v>
      </c>
      <c r="G13" s="4">
        <f>SUMIF(Facturas!F:F, A13, Facturas!I:I)</f>
        <v>3358.0722647126177</v>
      </c>
    </row>
    <row r="14" spans="1:7" x14ac:dyDescent="0.25">
      <c r="A14" s="3" t="s">
        <v>21</v>
      </c>
      <c r="B14" s="3" t="s">
        <v>59</v>
      </c>
      <c r="C14" s="4">
        <f>+[13]Resumen!$T$3</f>
        <v>568.86784367862663</v>
      </c>
      <c r="D14" s="5">
        <f>+[13]Resumen!$T$1</f>
        <v>1142</v>
      </c>
      <c r="E14" s="5">
        <f>C14*D14</f>
        <v>649647.0774809916</v>
      </c>
      <c r="F14" s="5">
        <f>SUMIF(Facturas!F:F, A14, Facturas!G:G)</f>
        <v>802802.84</v>
      </c>
      <c r="G14" s="4">
        <f>SUMIF(Facturas!F:F, A14, Facturas!I:I)</f>
        <v>622.39</v>
      </c>
    </row>
    <row r="15" spans="1:7" x14ac:dyDescent="0.25">
      <c r="A15" s="3" t="s">
        <v>22</v>
      </c>
      <c r="B15" s="3" t="s">
        <v>60</v>
      </c>
      <c r="C15" s="4">
        <f>+[14]Resumen!$T$3</f>
        <v>6740.8644642482423</v>
      </c>
      <c r="D15" s="5">
        <f>+[14]Resumen!$T$1</f>
        <v>1160</v>
      </c>
      <c r="E15" s="5">
        <f t="shared" si="0"/>
        <v>7819402.7785279611</v>
      </c>
      <c r="F15" s="5">
        <f>SUMIF(Facturas!F:F, A15, Facturas!G:G)</f>
        <v>9663919.0099999998</v>
      </c>
      <c r="G15" s="4">
        <f>SUMIF(Facturas!F:F, A15, Facturas!I:I)</f>
        <v>7431.86</v>
      </c>
    </row>
    <row r="16" spans="1:7" x14ac:dyDescent="0.25">
      <c r="A16" s="3" t="s">
        <v>27</v>
      </c>
      <c r="B16" s="3" t="s">
        <v>61</v>
      </c>
      <c r="C16" s="4">
        <f>+[15]Resumen!$T$3</f>
        <v>795.60267677978675</v>
      </c>
      <c r="D16" s="5">
        <f>+[15]Resumen!$T$1</f>
        <v>1074.25</v>
      </c>
      <c r="E16" s="5">
        <f t="shared" si="0"/>
        <v>854676.17553068593</v>
      </c>
      <c r="F16" s="5">
        <f>SUMIF(Facturas!F:F, A16, Facturas!G:G)</f>
        <v>849549.81</v>
      </c>
      <c r="G16" s="4">
        <f>SUMIF(Facturas!F:F, A16, Facturas!I:I)</f>
        <v>787.49024400199846</v>
      </c>
    </row>
    <row r="17" spans="1:7" x14ac:dyDescent="0.25">
      <c r="A17" s="3" t="s">
        <v>33</v>
      </c>
      <c r="B17" s="3" t="s">
        <v>62</v>
      </c>
      <c r="C17" s="4">
        <f>+[16]Resumen!$T$3*3</f>
        <v>2293.5236829135724</v>
      </c>
      <c r="D17" s="5">
        <f>+[16]Resumen!$T$1</f>
        <v>1445</v>
      </c>
      <c r="E17" s="5">
        <f t="shared" si="0"/>
        <v>3314141.7218101122</v>
      </c>
      <c r="F17" s="5">
        <f>SUMIF(Facturas!F:F, A17, Facturas!G:G)</f>
        <v>2911907.7600000002</v>
      </c>
      <c r="G17" s="4">
        <f>SUMIF(Facturas!F:F, A17, Facturas!I:I)</f>
        <v>2008.94</v>
      </c>
    </row>
    <row r="18" spans="1:7" x14ac:dyDescent="0.25">
      <c r="A18" s="3" t="s">
        <v>8</v>
      </c>
      <c r="B18" s="3" t="s">
        <v>34</v>
      </c>
      <c r="C18" s="4">
        <f>[17]Resumen!$T$3</f>
        <v>18359.095389929684</v>
      </c>
      <c r="D18" s="5">
        <v>1350</v>
      </c>
      <c r="E18" s="5">
        <f>C18*D18</f>
        <v>24784778.776405074</v>
      </c>
      <c r="F18" s="5">
        <f>SUMIF(Facturas!F:F, A18, Facturas!G:G)</f>
        <v>28550090.600000001</v>
      </c>
      <c r="G18" s="4">
        <f>SUMIF(Facturas!F:F, A18, Facturas!I:I)</f>
        <v>19711.779999999995</v>
      </c>
    </row>
    <row r="19" spans="1:7" x14ac:dyDescent="0.25">
      <c r="A19" s="3" t="s">
        <v>13</v>
      </c>
      <c r="B19" s="3" t="s">
        <v>35</v>
      </c>
      <c r="C19" s="4">
        <f>'[18]Tabla Resumen'!$G$2</f>
        <v>3140.110339235976</v>
      </c>
      <c r="D19" s="5">
        <f>'[18]Tabla Resumen'!$E$2</f>
        <v>1406</v>
      </c>
      <c r="E19" s="5">
        <f t="shared" ref="E19:E27" si="2">C19*D19</f>
        <v>4414995.1369657824</v>
      </c>
      <c r="F19" s="5">
        <f>SUMIF(Facturas!F:F, A19, Facturas!G:G)</f>
        <v>3393426.74</v>
      </c>
      <c r="G19" s="4">
        <f>SUMIF(Facturas!F:F, A19, Facturas!I:I)</f>
        <v>2313.4499999999998</v>
      </c>
    </row>
    <row r="20" spans="1:7" ht="45" x14ac:dyDescent="0.25">
      <c r="A20" s="3" t="s">
        <v>855</v>
      </c>
      <c r="B20" s="6" t="s">
        <v>37</v>
      </c>
      <c r="C20" s="4">
        <f>+'[19]Tabla Resumen'!$G$2+[20]Resumen!$T$3</f>
        <v>70835.854310080205</v>
      </c>
      <c r="D20" s="5">
        <f>+'[19]Tabla Resumen'!$E$2</f>
        <v>1435</v>
      </c>
      <c r="E20" s="5">
        <f t="shared" si="2"/>
        <v>101649450.93496509</v>
      </c>
      <c r="F20" s="5">
        <f>SUMIF(Facturas!F:F, A20, Facturas!G:G)</f>
        <v>105595084.27999999</v>
      </c>
      <c r="G20" s="4">
        <f>SUMIF(Facturas!F:F, A20, Facturas!I:I)</f>
        <v>72551.11</v>
      </c>
    </row>
    <row r="21" spans="1:7" x14ac:dyDescent="0.25">
      <c r="A21" s="3" t="s">
        <v>19</v>
      </c>
      <c r="B21" s="3" t="s">
        <v>38</v>
      </c>
      <c r="C21" s="4">
        <f>+'[21]3'!$L$3</f>
        <v>16879.189330912988</v>
      </c>
      <c r="D21" s="5">
        <v>1335</v>
      </c>
      <c r="E21" s="5">
        <f t="shared" si="2"/>
        <v>22533717.756768838</v>
      </c>
      <c r="F21" s="5">
        <f>SUMIF(Facturas!F:F, A21, Facturas!G:G)</f>
        <v>14497296.470000001</v>
      </c>
      <c r="G21" s="4">
        <f>SUMIF(Facturas!F:F, A21, Facturas!I:I)</f>
        <v>9847.61</v>
      </c>
    </row>
    <row r="22" spans="1:7" x14ac:dyDescent="0.25">
      <c r="A22" s="3" t="s">
        <v>23</v>
      </c>
      <c r="B22" s="3" t="s">
        <v>39</v>
      </c>
      <c r="C22" s="4">
        <f>+[22]Resumen!$T$3</f>
        <v>689.22882837695988</v>
      </c>
      <c r="D22" s="5">
        <v>1315</v>
      </c>
      <c r="E22" s="5">
        <f t="shared" si="2"/>
        <v>906335.90931570227</v>
      </c>
      <c r="F22" s="5">
        <f>SUMIF(Facturas!F:F, A22, Facturas!G:G)</f>
        <v>277126.7</v>
      </c>
      <c r="G22" s="4">
        <f>SUMIF(Facturas!F:F, A22, Facturas!I:I)</f>
        <v>195.01999999999998</v>
      </c>
    </row>
    <row r="23" spans="1:7" x14ac:dyDescent="0.25">
      <c r="A23" s="3" t="s">
        <v>25</v>
      </c>
      <c r="B23" s="3" t="s">
        <v>40</v>
      </c>
      <c r="C23" s="4">
        <f>+[23]Resumen!$T$3</f>
        <v>1758.96582877318</v>
      </c>
      <c r="D23" s="5">
        <f>+[23]Resumen!$T$1</f>
        <v>1415</v>
      </c>
      <c r="E23" s="5">
        <f t="shared" si="2"/>
        <v>2488936.6477140496</v>
      </c>
      <c r="F23" s="5">
        <f>SUMIF(Facturas!F:F, A23, Facturas!G:G)</f>
        <v>2791033.73</v>
      </c>
      <c r="G23" s="4">
        <f>SUMIF(Facturas!F:F, A23, Facturas!I:I)</f>
        <v>1894.83</v>
      </c>
    </row>
    <row r="24" spans="1:7" x14ac:dyDescent="0.25">
      <c r="A24" s="3" t="s">
        <v>24</v>
      </c>
      <c r="B24" s="3" t="s">
        <v>41</v>
      </c>
      <c r="C24" s="4">
        <f>+[24]Resumen!$T$3</f>
        <v>2441.1368306216559</v>
      </c>
      <c r="D24" s="5">
        <f>+[24]Resumen!$T$1</f>
        <v>1475</v>
      </c>
      <c r="E24" s="5">
        <f t="shared" si="2"/>
        <v>3600676.8251669426</v>
      </c>
      <c r="F24" s="5">
        <f>SUMIF(Facturas!F:F, A24, Facturas!G:G)</f>
        <v>3007077.8300000005</v>
      </c>
      <c r="G24" s="4">
        <f>SUMIF(Facturas!F:F, A24, Facturas!I:I)</f>
        <v>2026.23</v>
      </c>
    </row>
    <row r="25" spans="1:7" x14ac:dyDescent="0.25">
      <c r="A25" s="3" t="s">
        <v>26</v>
      </c>
      <c r="B25" s="3" t="s">
        <v>42</v>
      </c>
      <c r="C25" s="4">
        <f>+[25]Resumen!$T$3</f>
        <v>1466.4790114542939</v>
      </c>
      <c r="D25" s="5">
        <v>1315</v>
      </c>
      <c r="E25" s="5">
        <f t="shared" si="2"/>
        <v>1928419.9000623964</v>
      </c>
      <c r="F25" s="5">
        <f>SUMIF(Facturas!F:F, A25, Facturas!G:G)</f>
        <v>1495726.1199999999</v>
      </c>
      <c r="G25" s="4">
        <f>SUMIF(Facturas!F:F, A25, Facturas!I:I)</f>
        <v>1013.23</v>
      </c>
    </row>
    <row r="26" spans="1:7" x14ac:dyDescent="0.25">
      <c r="A26" s="3" t="s">
        <v>30</v>
      </c>
      <c r="B26" s="3" t="s">
        <v>43</v>
      </c>
      <c r="C26" s="4">
        <f>+'[26]Tabla Resumen'!$G$2</f>
        <v>2023.3113593503779</v>
      </c>
      <c r="D26" s="5">
        <f>+'[26]Tabla Resumen'!$E$1</f>
        <v>1480</v>
      </c>
      <c r="E26" s="5">
        <f t="shared" si="2"/>
        <v>2994500.8118385593</v>
      </c>
      <c r="F26" s="5">
        <f>SUMIF(Facturas!F:F, A26, Facturas!G:G)</f>
        <v>3285569.37</v>
      </c>
      <c r="G26" s="4">
        <f>SUMIF(Facturas!F:F, A26, Facturas!I:I)</f>
        <v>2205.48</v>
      </c>
    </row>
    <row r="27" spans="1:7" x14ac:dyDescent="0.25">
      <c r="A27" s="7" t="s">
        <v>31</v>
      </c>
      <c r="B27" s="7" t="s">
        <v>45</v>
      </c>
      <c r="C27" s="8">
        <f>+'[27]Tabla Resumen'!$G$2</f>
        <v>301241.40316828201</v>
      </c>
      <c r="D27" s="9">
        <f>+'[27]Tabla Resumen'!$E$2</f>
        <v>1451</v>
      </c>
      <c r="E27" s="9">
        <f t="shared" si="2"/>
        <v>437101275.99717718</v>
      </c>
      <c r="F27" s="9">
        <f>SUMIF(Facturas!F:F, A27, Facturas!G:G)</f>
        <v>307099950.48000002</v>
      </c>
      <c r="G27" s="4">
        <f>SUMIF(Facturas!F:F, A27, Facturas!I:I)</f>
        <v>215243.3</v>
      </c>
    </row>
    <row r="28" spans="1:7" x14ac:dyDescent="0.25">
      <c r="A28" s="7" t="s">
        <v>65</v>
      </c>
      <c r="B28" s="3" t="s">
        <v>66</v>
      </c>
      <c r="C28" s="4">
        <f>+'[28]Tabla Resumen'!$G$2</f>
        <v>68396.270940006129</v>
      </c>
      <c r="D28" s="5">
        <f>+'[28]Tabla Resumen'!$E$2</f>
        <v>1447.5</v>
      </c>
      <c r="E28" s="5">
        <f t="shared" ref="E28:E29" si="3">C28*D28</f>
        <v>99003602.185658872</v>
      </c>
      <c r="F28" s="5">
        <f>SUMIF(Facturas!F:F, A28, Facturas!G:G)</f>
        <v>111858852.10000001</v>
      </c>
      <c r="G28" s="4">
        <f>SUMIF(Facturas!F:F, A28, Facturas!I:I)</f>
        <v>77977.38</v>
      </c>
    </row>
    <row r="29" spans="1:7" x14ac:dyDescent="0.25">
      <c r="A29" s="7" t="s">
        <v>63</v>
      </c>
      <c r="B29" s="3" t="s">
        <v>67</v>
      </c>
      <c r="C29" s="4">
        <f>+'[29]Tabla Resumen'!$G$2</f>
        <v>12416.244024218631</v>
      </c>
      <c r="D29" s="5">
        <f>+'[29]Tabla Resumen'!$E$2</f>
        <v>1452</v>
      </c>
      <c r="E29" s="5">
        <f t="shared" si="3"/>
        <v>18028386.323165454</v>
      </c>
      <c r="F29" s="5">
        <f>SUMIF(Facturas!F:F, A29, Facturas!G:G)</f>
        <v>6131256.7400000002</v>
      </c>
      <c r="G29" s="4">
        <f>SUMIF(Facturas!F:F, A29, Facturas!I:I)</f>
        <v>4236.97</v>
      </c>
    </row>
    <row r="30" spans="1:7" x14ac:dyDescent="0.25">
      <c r="A30" s="3" t="s">
        <v>64</v>
      </c>
      <c r="B30" s="3" t="s">
        <v>68</v>
      </c>
      <c r="C30" s="4">
        <f>+[30]Resumen!$T$3</f>
        <v>64633.605633802807</v>
      </c>
      <c r="D30" s="5">
        <f>+'[30]Tabla Resumen'!$E$2</f>
        <v>1397</v>
      </c>
      <c r="E30" s="5">
        <f t="shared" ref="E30:E31" si="4">C30*D30</f>
        <v>90293147.070422515</v>
      </c>
      <c r="F30" s="5">
        <f>SUMIF(Facturas!F:F, A30, Facturas!G:G)</f>
        <v>93138758.459999993</v>
      </c>
      <c r="G30" s="4">
        <f>SUMIF(Facturas!F:F, A30, Facturas!I:I)</f>
        <v>65696.709999999992</v>
      </c>
    </row>
    <row r="31" spans="1:7" x14ac:dyDescent="0.25">
      <c r="A31" t="s">
        <v>69</v>
      </c>
      <c r="B31" s="3" t="s">
        <v>70</v>
      </c>
      <c r="C31" s="4">
        <f>38537*0.6</f>
        <v>23122.2</v>
      </c>
      <c r="D31" s="5">
        <v>1450</v>
      </c>
      <c r="E31" s="5">
        <f t="shared" si="4"/>
        <v>33527190</v>
      </c>
      <c r="F31" s="5">
        <f>SUMIF(Facturas!F:F, A31, Facturas!G:G)</f>
        <v>20651055.77</v>
      </c>
      <c r="G31" s="4">
        <f>SUMIF(Facturas!F:F, A31, Facturas!I:I)</f>
        <v>13983.97</v>
      </c>
    </row>
    <row r="32" spans="1:7" x14ac:dyDescent="0.25">
      <c r="A32" s="3" t="s">
        <v>2274</v>
      </c>
      <c r="B32" s="3" t="s">
        <v>80</v>
      </c>
      <c r="C32" s="4">
        <f>4433+460</f>
        <v>4893</v>
      </c>
      <c r="D32" s="5">
        <v>1450</v>
      </c>
      <c r="E32" s="5">
        <f>C32*D32</f>
        <v>7094850</v>
      </c>
      <c r="F32" s="5">
        <f>SUMIF(Facturas!F:F, A32, Facturas!G:G)</f>
        <v>7423021.2800000003</v>
      </c>
      <c r="G32" s="8">
        <f>SUMIF(Facturas!F:F, A32, Facturas!I:I)</f>
        <v>4907.54</v>
      </c>
    </row>
    <row r="33" spans="1:7" x14ac:dyDescent="0.25">
      <c r="A33" s="3" t="s">
        <v>77</v>
      </c>
      <c r="B33" s="3" t="s">
        <v>79</v>
      </c>
      <c r="C33" s="4">
        <f>+'[31]Tabla Resumen'!$G$2</f>
        <v>6894.2279416267602</v>
      </c>
      <c r="D33" s="5">
        <f>+'[31]Tabla Resumen'!$E$1</f>
        <v>1415</v>
      </c>
      <c r="E33" s="5">
        <f t="shared" ref="E33:E34" si="5">C33*D33</f>
        <v>9755332.5374018662</v>
      </c>
      <c r="F33" s="5">
        <f>SUMIF(Facturas!F:F, A33, Facturas!G:G)</f>
        <v>8347856.0899999999</v>
      </c>
      <c r="G33" s="8">
        <f>SUMIF(Facturas!F:F, A33, Facturas!I:I)</f>
        <v>5510.09</v>
      </c>
    </row>
    <row r="34" spans="1:7" x14ac:dyDescent="0.25">
      <c r="A34" s="13" t="s">
        <v>2389</v>
      </c>
      <c r="B34" s="7" t="s">
        <v>78</v>
      </c>
      <c r="C34" s="8">
        <f>+'[32]Tabla Resumen'!$K$6</f>
        <v>6127.1028098796432</v>
      </c>
      <c r="D34" s="9">
        <f>+'[32]Tabla Resumen'!$E$1</f>
        <v>1430</v>
      </c>
      <c r="E34" s="5">
        <f t="shared" si="5"/>
        <v>8761757.0181278903</v>
      </c>
      <c r="F34" s="5">
        <f>SUMIF(Facturas!F:F, A34, Facturas!G:G)</f>
        <v>10500820.289999999</v>
      </c>
      <c r="G34" s="8">
        <f>SUMIF(Facturas!F:F, A34, Facturas!I:I)</f>
        <v>6948.4600000000009</v>
      </c>
    </row>
    <row r="35" spans="1:7" x14ac:dyDescent="0.25">
      <c r="A35" s="7" t="s">
        <v>2380</v>
      </c>
      <c r="B35" s="7"/>
      <c r="C35" s="8"/>
      <c r="D35" s="9"/>
      <c r="E35" s="9">
        <f>C35*D35</f>
        <v>0</v>
      </c>
      <c r="F35" s="9">
        <f>SUMIF(Facturas!F:F, A35, Facturas!G:G)</f>
        <v>1652083.63</v>
      </c>
      <c r="G35" s="8">
        <f>SUMIF(Facturas!F:F, A35, Facturas!I:I)</f>
        <v>1087.5500000000002</v>
      </c>
    </row>
    <row r="36" spans="1:7" x14ac:dyDescent="0.25">
      <c r="A36" s="19" t="s">
        <v>2381</v>
      </c>
      <c r="B36" s="16" t="s">
        <v>2382</v>
      </c>
      <c r="C36" s="17">
        <f>+'[33]Tabla Resumen'!$G$2</f>
        <v>10218.404718917949</v>
      </c>
      <c r="D36" s="18">
        <f>+'[33]Tabla Resumen'!$E$2</f>
        <v>1477</v>
      </c>
      <c r="E36" s="5">
        <f>C36*D36</f>
        <v>15092583.769841811</v>
      </c>
      <c r="F36" s="5">
        <f>SUMIF(Facturas!F:F, A36, Facturas!G:G)</f>
        <v>0</v>
      </c>
      <c r="G36" s="4">
        <f>SUMIF(Facturas!F:F, A36, Facturas!I:I)</f>
        <v>0</v>
      </c>
    </row>
    <row r="37" spans="1:7" x14ac:dyDescent="0.25">
      <c r="A37" s="7" t="s">
        <v>2406</v>
      </c>
      <c r="B37" s="7" t="s">
        <v>2407</v>
      </c>
      <c r="C37" s="8">
        <f>+'[34]Tabla Resumen'!$G$2</f>
        <v>1426.8728720294148</v>
      </c>
      <c r="D37" s="9">
        <f>+'[34]Tabla Resumen'!$E$2</f>
        <v>1489</v>
      </c>
      <c r="E37" s="9">
        <f>+TablaPresupuesto[[#This Row],[Presupuesto]]*TablaPresupuesto[[#This Row],[USD]]</f>
        <v>2124613.7064517988</v>
      </c>
      <c r="F37" s="5">
        <f>SUMIF(Facturas!F:F, A37, Facturas!G:G)</f>
        <v>0</v>
      </c>
      <c r="G37" s="4">
        <f>SUMIF(Facturas!F:F, A37, Facturas!I:I)</f>
        <v>0</v>
      </c>
    </row>
    <row r="38" spans="1:7" x14ac:dyDescent="0.25">
      <c r="A38" s="7" t="s">
        <v>2424</v>
      </c>
      <c r="B38" s="7" t="s">
        <v>2426</v>
      </c>
      <c r="C38" s="8">
        <f>+'[35]Tabla Resumen'!$G$5</f>
        <v>7408.726778024442</v>
      </c>
      <c r="D38" s="9">
        <f>+'[35]Tabla Resumen'!$E$2</f>
        <v>1478</v>
      </c>
      <c r="E38" s="9">
        <f>+TablaPresupuesto[[#This Row],[Presupuesto]]*TablaPresupuesto[[#This Row],[USD]]</f>
        <v>10950098.177920125</v>
      </c>
      <c r="F38" s="5">
        <f>SUMIF(Facturas!F:F, A38, Facturas!G:G)</f>
        <v>0</v>
      </c>
      <c r="G38" s="4">
        <f>SUMIF(Facturas!F:F, A38, Facturas!I:I)</f>
        <v>0</v>
      </c>
    </row>
    <row r="39" spans="1:7" x14ac:dyDescent="0.25">
      <c r="A39" s="7" t="s">
        <v>2425</v>
      </c>
      <c r="B39" s="7" t="s">
        <v>2427</v>
      </c>
      <c r="C39" s="8">
        <f>+'[36]Tabla Resumen'!$G$2*3</f>
        <v>24012.463095358609</v>
      </c>
      <c r="D39" s="9">
        <f>+'[36]Tabla Resumen'!$E$2</f>
        <v>1481</v>
      </c>
      <c r="E39" s="9">
        <f>+TablaPresupuesto[[#This Row],[Presupuesto]]*TablaPresupuesto[[#This Row],[USD]]</f>
        <v>35562457.8442261</v>
      </c>
      <c r="F39" s="5">
        <f>SUMIF(Facturas!F:F, A39, Facturas!G:G)</f>
        <v>0</v>
      </c>
      <c r="G39" s="4">
        <f>SUMIF(Facturas!F:F, A39, Facturas!I:I)</f>
        <v>0</v>
      </c>
    </row>
  </sheetData>
  <conditionalFormatting sqref="E40:E366">
    <cfRule type="cellIs" dxfId="13" priority="10" operator="greaterThan">
      <formula>F40</formula>
    </cfRule>
  </conditionalFormatting>
  <conditionalFormatting sqref="F2:F39">
    <cfRule type="expression" dxfId="12" priority="5">
      <formula>F2&gt;E2</formula>
    </cfRule>
  </conditionalFormatting>
  <conditionalFormatting sqref="F2:F39">
    <cfRule type="expression" dxfId="11" priority="4">
      <formula>F2&lt;E2</formula>
    </cfRule>
  </conditionalFormatting>
  <conditionalFormatting sqref="G2:G39">
    <cfRule type="expression" dxfId="10" priority="1">
      <formula>G2&lt;C2</formula>
    </cfRule>
    <cfRule type="expression" dxfId="9" priority="3">
      <formula>G2&gt;C2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E58FC-B934-4482-8F1A-C2F09BB21D18}">
  <sheetPr codeName="Hoja3"/>
  <dimension ref="A1:D459"/>
  <sheetViews>
    <sheetView workbookViewId="0">
      <selection activeCell="G247" sqref="G247"/>
    </sheetView>
  </sheetViews>
  <sheetFormatPr baseColWidth="10" defaultRowHeight="15" x14ac:dyDescent="0.25"/>
  <cols>
    <col min="1" max="1" width="10.7109375" bestFit="1" customWidth="1"/>
    <col min="2" max="2" width="7.85546875" bestFit="1" customWidth="1"/>
    <col min="3" max="3" width="6.28515625" bestFit="1" customWidth="1"/>
    <col min="4" max="4" width="9.7109375" bestFit="1" customWidth="1"/>
  </cols>
  <sheetData>
    <row r="1" spans="1:4" x14ac:dyDescent="0.25">
      <c r="A1" s="10" t="s">
        <v>2</v>
      </c>
      <c r="B1" s="10" t="s">
        <v>71</v>
      </c>
      <c r="C1" s="10" t="s">
        <v>72</v>
      </c>
      <c r="D1" s="10" t="s">
        <v>73</v>
      </c>
    </row>
    <row r="2" spans="1:4" x14ac:dyDescent="0.25">
      <c r="A2" s="1">
        <v>46196</v>
      </c>
      <c r="B2">
        <v>1440</v>
      </c>
      <c r="C2">
        <v>1490</v>
      </c>
    </row>
    <row r="3" spans="1:4" x14ac:dyDescent="0.25">
      <c r="A3" s="1">
        <v>46195</v>
      </c>
      <c r="B3">
        <v>1431.54</v>
      </c>
      <c r="C3">
        <v>1481.79</v>
      </c>
    </row>
    <row r="4" spans="1:4" x14ac:dyDescent="0.25">
      <c r="A4" s="1">
        <v>46192</v>
      </c>
      <c r="B4">
        <v>1432.05</v>
      </c>
      <c r="C4">
        <v>1481.94</v>
      </c>
    </row>
    <row r="5" spans="1:4" x14ac:dyDescent="0.25">
      <c r="A5" s="1">
        <v>46191</v>
      </c>
      <c r="B5">
        <v>1420</v>
      </c>
      <c r="C5">
        <v>1470.01</v>
      </c>
    </row>
    <row r="6" spans="1:4" x14ac:dyDescent="0.25">
      <c r="A6" s="1">
        <v>46190</v>
      </c>
      <c r="B6">
        <v>1409.97</v>
      </c>
      <c r="C6">
        <v>1461.27</v>
      </c>
    </row>
    <row r="7" spans="1:4" x14ac:dyDescent="0.25">
      <c r="A7" s="1">
        <v>46189</v>
      </c>
      <c r="B7">
        <v>1400</v>
      </c>
      <c r="C7">
        <v>1450</v>
      </c>
    </row>
    <row r="8" spans="1:4" x14ac:dyDescent="0.25">
      <c r="A8" s="1">
        <v>46187</v>
      </c>
      <c r="B8">
        <v>1400</v>
      </c>
      <c r="C8">
        <v>1450</v>
      </c>
    </row>
    <row r="9" spans="1:4" x14ac:dyDescent="0.25">
      <c r="A9" s="1">
        <v>46183</v>
      </c>
      <c r="B9">
        <v>1405</v>
      </c>
      <c r="C9">
        <v>1455</v>
      </c>
    </row>
    <row r="10" spans="1:4" x14ac:dyDescent="0.25">
      <c r="A10" s="1">
        <v>46182</v>
      </c>
      <c r="B10">
        <v>1410</v>
      </c>
      <c r="C10">
        <v>1460</v>
      </c>
    </row>
    <row r="11" spans="1:4" x14ac:dyDescent="0.25">
      <c r="A11" s="1">
        <v>46181</v>
      </c>
      <c r="B11">
        <v>1415</v>
      </c>
      <c r="C11">
        <v>1465</v>
      </c>
    </row>
    <row r="12" spans="1:4" x14ac:dyDescent="0.25">
      <c r="A12" s="1">
        <v>46180</v>
      </c>
      <c r="B12">
        <v>1410</v>
      </c>
      <c r="C12">
        <v>1460</v>
      </c>
    </row>
    <row r="13" spans="1:4" x14ac:dyDescent="0.25">
      <c r="A13" s="1">
        <v>46179</v>
      </c>
      <c r="B13">
        <v>1410</v>
      </c>
      <c r="C13">
        <v>1460</v>
      </c>
    </row>
    <row r="14" spans="1:4" x14ac:dyDescent="0.25">
      <c r="A14" s="1">
        <v>46178</v>
      </c>
      <c r="B14">
        <v>1410</v>
      </c>
      <c r="C14">
        <v>1460</v>
      </c>
    </row>
    <row r="15" spans="1:4" x14ac:dyDescent="0.25">
      <c r="A15" s="1">
        <v>46177</v>
      </c>
      <c r="B15">
        <v>1405</v>
      </c>
      <c r="C15">
        <v>1455</v>
      </c>
    </row>
    <row r="16" spans="1:4" x14ac:dyDescent="0.25">
      <c r="A16" s="1">
        <v>46176</v>
      </c>
      <c r="B16">
        <v>1410</v>
      </c>
      <c r="C16">
        <v>1460</v>
      </c>
    </row>
    <row r="17" spans="1:3" x14ac:dyDescent="0.25">
      <c r="A17" s="1">
        <v>46175</v>
      </c>
      <c r="B17">
        <v>1400</v>
      </c>
      <c r="C17">
        <v>1450</v>
      </c>
    </row>
    <row r="18" spans="1:3" x14ac:dyDescent="0.25">
      <c r="A18" s="1">
        <v>46174</v>
      </c>
      <c r="B18">
        <v>1395</v>
      </c>
      <c r="C18">
        <v>1445</v>
      </c>
    </row>
    <row r="19" spans="1:3" x14ac:dyDescent="0.25">
      <c r="A19" s="1">
        <v>46172</v>
      </c>
      <c r="B19">
        <v>1380</v>
      </c>
      <c r="C19">
        <v>1430</v>
      </c>
    </row>
    <row r="20" spans="1:3" x14ac:dyDescent="0.25">
      <c r="A20" s="1">
        <v>46171</v>
      </c>
      <c r="B20">
        <v>1380</v>
      </c>
      <c r="C20">
        <v>1430</v>
      </c>
    </row>
    <row r="21" spans="1:3" x14ac:dyDescent="0.25">
      <c r="A21" s="1">
        <v>46170</v>
      </c>
      <c r="B21">
        <v>1380</v>
      </c>
      <c r="C21">
        <v>1430</v>
      </c>
    </row>
    <row r="22" spans="1:3" x14ac:dyDescent="0.25">
      <c r="A22" s="1">
        <v>46169</v>
      </c>
      <c r="B22">
        <v>1380</v>
      </c>
      <c r="C22">
        <v>1430</v>
      </c>
    </row>
    <row r="23" spans="1:3" x14ac:dyDescent="0.25">
      <c r="A23" s="1">
        <v>46168</v>
      </c>
      <c r="B23">
        <v>1380</v>
      </c>
      <c r="C23">
        <v>1430</v>
      </c>
    </row>
    <row r="24" spans="1:3" x14ac:dyDescent="0.25">
      <c r="A24" s="1">
        <v>46164</v>
      </c>
      <c r="B24">
        <v>1375</v>
      </c>
      <c r="C24">
        <v>1425</v>
      </c>
    </row>
    <row r="25" spans="1:3" x14ac:dyDescent="0.25">
      <c r="A25" s="1">
        <v>46162</v>
      </c>
      <c r="B25">
        <v>1370</v>
      </c>
      <c r="C25">
        <v>1420</v>
      </c>
    </row>
    <row r="26" spans="1:3" x14ac:dyDescent="0.25">
      <c r="A26" s="1">
        <v>46161</v>
      </c>
      <c r="B26">
        <v>1370</v>
      </c>
      <c r="C26">
        <v>1420</v>
      </c>
    </row>
    <row r="27" spans="1:3" x14ac:dyDescent="0.25">
      <c r="A27" s="1">
        <v>46160</v>
      </c>
      <c r="B27">
        <v>1370</v>
      </c>
      <c r="C27">
        <v>1420</v>
      </c>
    </row>
    <row r="28" spans="1:3" x14ac:dyDescent="0.25">
      <c r="A28" s="1">
        <v>46159</v>
      </c>
      <c r="B28">
        <v>1370</v>
      </c>
      <c r="C28">
        <v>1420</v>
      </c>
    </row>
    <row r="29" spans="1:3" x14ac:dyDescent="0.25">
      <c r="A29" s="1">
        <v>46157</v>
      </c>
      <c r="B29">
        <v>1370</v>
      </c>
      <c r="C29">
        <v>1420</v>
      </c>
    </row>
    <row r="30" spans="1:3" x14ac:dyDescent="0.25">
      <c r="A30" s="1">
        <v>46156</v>
      </c>
      <c r="B30">
        <v>1365</v>
      </c>
      <c r="C30">
        <v>1415</v>
      </c>
    </row>
    <row r="31" spans="1:3" x14ac:dyDescent="0.25">
      <c r="A31" s="1">
        <v>46155</v>
      </c>
      <c r="B31">
        <v>1355</v>
      </c>
      <c r="C31">
        <v>1405</v>
      </c>
    </row>
    <row r="32" spans="1:3" x14ac:dyDescent="0.25">
      <c r="A32" s="1">
        <v>46154</v>
      </c>
      <c r="B32">
        <v>1355</v>
      </c>
      <c r="C32">
        <v>1405</v>
      </c>
    </row>
    <row r="33" spans="1:3" x14ac:dyDescent="0.25">
      <c r="A33" s="1">
        <v>46153</v>
      </c>
      <c r="B33">
        <v>1365</v>
      </c>
      <c r="C33">
        <v>1415</v>
      </c>
    </row>
    <row r="34" spans="1:3" x14ac:dyDescent="0.25">
      <c r="A34" s="1">
        <v>46152</v>
      </c>
      <c r="B34">
        <v>1370</v>
      </c>
      <c r="C34">
        <v>1420</v>
      </c>
    </row>
    <row r="35" spans="1:3" x14ac:dyDescent="0.25">
      <c r="A35" s="1">
        <v>46150</v>
      </c>
      <c r="B35">
        <v>1370</v>
      </c>
      <c r="C35">
        <v>1420</v>
      </c>
    </row>
    <row r="36" spans="1:3" x14ac:dyDescent="0.25">
      <c r="A36" s="1">
        <v>46149</v>
      </c>
      <c r="B36">
        <v>1370</v>
      </c>
      <c r="C36">
        <v>1420</v>
      </c>
    </row>
    <row r="37" spans="1:3" x14ac:dyDescent="0.25">
      <c r="A37" s="1">
        <v>46148</v>
      </c>
      <c r="B37">
        <v>1360</v>
      </c>
      <c r="C37">
        <v>1410</v>
      </c>
    </row>
    <row r="38" spans="1:3" x14ac:dyDescent="0.25">
      <c r="A38" s="1">
        <v>46147</v>
      </c>
      <c r="B38">
        <v>1365</v>
      </c>
      <c r="C38">
        <v>1415</v>
      </c>
    </row>
    <row r="39" spans="1:3" x14ac:dyDescent="0.25">
      <c r="A39" s="1">
        <v>46146</v>
      </c>
      <c r="B39">
        <v>1375</v>
      </c>
      <c r="C39">
        <v>1425</v>
      </c>
    </row>
    <row r="40" spans="1:3" x14ac:dyDescent="0.25">
      <c r="A40" s="1">
        <v>46145</v>
      </c>
      <c r="B40">
        <v>1365</v>
      </c>
      <c r="C40">
        <v>1415</v>
      </c>
    </row>
    <row r="41" spans="1:3" x14ac:dyDescent="0.25">
      <c r="A41" s="1">
        <v>46144</v>
      </c>
      <c r="B41">
        <v>1365</v>
      </c>
      <c r="C41">
        <v>1415</v>
      </c>
    </row>
    <row r="42" spans="1:3" x14ac:dyDescent="0.25">
      <c r="A42" s="1">
        <v>46143</v>
      </c>
      <c r="B42">
        <v>1365</v>
      </c>
      <c r="C42">
        <v>1415</v>
      </c>
    </row>
    <row r="43" spans="1:3" x14ac:dyDescent="0.25">
      <c r="A43" s="1">
        <v>46142</v>
      </c>
      <c r="B43">
        <v>1365</v>
      </c>
      <c r="C43">
        <v>1415</v>
      </c>
    </row>
    <row r="44" spans="1:3" x14ac:dyDescent="0.25">
      <c r="A44" s="1">
        <v>46141</v>
      </c>
      <c r="B44">
        <v>1365</v>
      </c>
      <c r="C44">
        <v>1415</v>
      </c>
    </row>
    <row r="45" spans="1:3" x14ac:dyDescent="0.25">
      <c r="A45" s="1">
        <v>46140</v>
      </c>
      <c r="B45">
        <v>1380</v>
      </c>
      <c r="C45">
        <v>1430</v>
      </c>
    </row>
    <row r="46" spans="1:3" x14ac:dyDescent="0.25">
      <c r="A46" s="1">
        <v>46139</v>
      </c>
      <c r="B46">
        <v>1390</v>
      </c>
      <c r="C46">
        <v>1440</v>
      </c>
    </row>
    <row r="47" spans="1:3" x14ac:dyDescent="0.25">
      <c r="A47" s="1">
        <v>46138</v>
      </c>
      <c r="B47">
        <v>1370</v>
      </c>
      <c r="C47">
        <v>1420</v>
      </c>
    </row>
    <row r="48" spans="1:3" x14ac:dyDescent="0.25">
      <c r="A48" s="1">
        <v>46136</v>
      </c>
      <c r="B48">
        <v>1370</v>
      </c>
      <c r="C48">
        <v>1420</v>
      </c>
    </row>
    <row r="49" spans="1:3" x14ac:dyDescent="0.25">
      <c r="A49" s="1">
        <v>46135</v>
      </c>
      <c r="B49">
        <v>1365</v>
      </c>
      <c r="C49">
        <v>1415</v>
      </c>
    </row>
    <row r="50" spans="1:3" x14ac:dyDescent="0.25">
      <c r="A50" s="1">
        <v>46134</v>
      </c>
      <c r="B50">
        <v>1350</v>
      </c>
      <c r="C50">
        <v>1400</v>
      </c>
    </row>
    <row r="51" spans="1:3" x14ac:dyDescent="0.25">
      <c r="A51" s="1">
        <v>46133</v>
      </c>
      <c r="B51">
        <v>1350</v>
      </c>
      <c r="C51">
        <v>1400</v>
      </c>
    </row>
    <row r="52" spans="1:3" x14ac:dyDescent="0.25">
      <c r="A52" s="1">
        <v>46132</v>
      </c>
      <c r="B52">
        <v>1350</v>
      </c>
      <c r="C52">
        <v>1400</v>
      </c>
    </row>
    <row r="53" spans="1:3" x14ac:dyDescent="0.25">
      <c r="A53" s="1">
        <v>46130</v>
      </c>
      <c r="B53">
        <v>1340</v>
      </c>
      <c r="C53">
        <v>1390</v>
      </c>
    </row>
    <row r="54" spans="1:3" x14ac:dyDescent="0.25">
      <c r="A54" s="1">
        <v>46129</v>
      </c>
      <c r="B54">
        <v>1340</v>
      </c>
      <c r="C54">
        <v>1390</v>
      </c>
    </row>
    <row r="55" spans="1:3" x14ac:dyDescent="0.25">
      <c r="A55" s="1">
        <v>46128</v>
      </c>
      <c r="B55">
        <v>1330</v>
      </c>
      <c r="C55">
        <v>1380</v>
      </c>
    </row>
    <row r="56" spans="1:3" x14ac:dyDescent="0.25">
      <c r="A56" s="1">
        <v>46127</v>
      </c>
      <c r="B56">
        <v>1335</v>
      </c>
      <c r="C56">
        <v>1385</v>
      </c>
    </row>
    <row r="57" spans="1:3" x14ac:dyDescent="0.25">
      <c r="A57" s="1">
        <v>46126</v>
      </c>
      <c r="B57">
        <v>1335</v>
      </c>
      <c r="C57">
        <v>1385</v>
      </c>
    </row>
    <row r="58" spans="1:3" x14ac:dyDescent="0.25">
      <c r="A58" s="1">
        <v>46125</v>
      </c>
      <c r="B58">
        <v>1335</v>
      </c>
      <c r="C58">
        <v>1385</v>
      </c>
    </row>
    <row r="59" spans="1:3" x14ac:dyDescent="0.25">
      <c r="A59" s="1">
        <v>46124</v>
      </c>
      <c r="B59">
        <v>1345</v>
      </c>
      <c r="C59">
        <v>1395</v>
      </c>
    </row>
    <row r="60" spans="1:3" x14ac:dyDescent="0.25">
      <c r="A60" s="1">
        <v>46122</v>
      </c>
      <c r="B60">
        <v>1345</v>
      </c>
      <c r="C60">
        <v>1395</v>
      </c>
    </row>
    <row r="61" spans="1:3" x14ac:dyDescent="0.25">
      <c r="A61" s="1">
        <v>46121</v>
      </c>
      <c r="B61">
        <v>1355</v>
      </c>
      <c r="C61">
        <v>1405</v>
      </c>
    </row>
    <row r="62" spans="1:3" x14ac:dyDescent="0.25">
      <c r="A62" s="1">
        <v>46120</v>
      </c>
      <c r="B62">
        <v>1360</v>
      </c>
      <c r="C62">
        <v>1410</v>
      </c>
    </row>
    <row r="63" spans="1:3" x14ac:dyDescent="0.25">
      <c r="A63" s="1">
        <v>46119</v>
      </c>
      <c r="B63">
        <v>1365</v>
      </c>
      <c r="C63">
        <v>1415</v>
      </c>
    </row>
    <row r="64" spans="1:3" x14ac:dyDescent="0.25">
      <c r="A64" s="1">
        <v>46118</v>
      </c>
      <c r="B64">
        <v>1365</v>
      </c>
      <c r="C64">
        <v>1415</v>
      </c>
    </row>
    <row r="65" spans="1:3" x14ac:dyDescent="0.25">
      <c r="A65" s="1">
        <v>46117</v>
      </c>
      <c r="B65">
        <v>1365</v>
      </c>
      <c r="C65">
        <v>1415</v>
      </c>
    </row>
    <row r="66" spans="1:3" x14ac:dyDescent="0.25">
      <c r="A66" s="1">
        <v>46116</v>
      </c>
      <c r="B66">
        <v>1365</v>
      </c>
      <c r="C66">
        <v>1415</v>
      </c>
    </row>
    <row r="67" spans="1:3" x14ac:dyDescent="0.25">
      <c r="A67" s="1">
        <v>46115</v>
      </c>
      <c r="B67">
        <v>1365</v>
      </c>
      <c r="C67">
        <v>1415</v>
      </c>
    </row>
    <row r="68" spans="1:3" x14ac:dyDescent="0.25">
      <c r="A68" s="1">
        <v>46114</v>
      </c>
      <c r="B68">
        <v>1365</v>
      </c>
      <c r="C68">
        <v>1415</v>
      </c>
    </row>
    <row r="69" spans="1:3" x14ac:dyDescent="0.25">
      <c r="A69" s="1">
        <v>46113</v>
      </c>
      <c r="B69">
        <v>1365</v>
      </c>
      <c r="C69">
        <v>1415</v>
      </c>
    </row>
    <row r="70" spans="1:3" x14ac:dyDescent="0.25">
      <c r="A70" s="1">
        <v>46112</v>
      </c>
      <c r="B70">
        <v>1355</v>
      </c>
      <c r="C70">
        <v>1405</v>
      </c>
    </row>
    <row r="71" spans="1:3" x14ac:dyDescent="0.25">
      <c r="A71" s="1">
        <v>46111</v>
      </c>
      <c r="B71">
        <v>1370</v>
      </c>
      <c r="C71">
        <v>1420</v>
      </c>
    </row>
    <row r="72" spans="1:3" x14ac:dyDescent="0.25">
      <c r="A72" s="1">
        <v>46110</v>
      </c>
      <c r="B72">
        <v>1355</v>
      </c>
      <c r="C72">
        <v>1405</v>
      </c>
    </row>
    <row r="73" spans="1:3" x14ac:dyDescent="0.25">
      <c r="A73" s="1">
        <v>46109</v>
      </c>
      <c r="B73">
        <v>1355</v>
      </c>
      <c r="C73">
        <v>1405</v>
      </c>
    </row>
    <row r="74" spans="1:3" x14ac:dyDescent="0.25">
      <c r="A74" s="1">
        <v>46108</v>
      </c>
      <c r="B74">
        <v>1355</v>
      </c>
      <c r="C74">
        <v>1405</v>
      </c>
    </row>
    <row r="75" spans="1:3" x14ac:dyDescent="0.25">
      <c r="A75" s="1">
        <v>46107</v>
      </c>
      <c r="B75">
        <v>1340</v>
      </c>
      <c r="C75">
        <v>1390</v>
      </c>
    </row>
    <row r="76" spans="1:3" x14ac:dyDescent="0.25">
      <c r="A76" s="1">
        <v>46106</v>
      </c>
      <c r="B76">
        <v>1350</v>
      </c>
      <c r="C76">
        <v>1400</v>
      </c>
    </row>
    <row r="77" spans="1:3" x14ac:dyDescent="0.25">
      <c r="A77" s="1">
        <v>46104</v>
      </c>
      <c r="B77">
        <v>1360</v>
      </c>
      <c r="C77">
        <v>1410</v>
      </c>
    </row>
    <row r="78" spans="1:3" x14ac:dyDescent="0.25">
      <c r="A78" s="1">
        <v>46103</v>
      </c>
      <c r="B78">
        <v>1360</v>
      </c>
      <c r="C78">
        <v>1410</v>
      </c>
    </row>
    <row r="79" spans="1:3" x14ac:dyDescent="0.25">
      <c r="A79" s="1">
        <v>46101</v>
      </c>
      <c r="B79">
        <v>1360</v>
      </c>
      <c r="C79">
        <v>1410</v>
      </c>
    </row>
    <row r="80" spans="1:3" x14ac:dyDescent="0.25">
      <c r="A80" s="1">
        <v>46100</v>
      </c>
      <c r="B80">
        <v>1365</v>
      </c>
      <c r="C80">
        <v>1415</v>
      </c>
    </row>
    <row r="81" spans="1:3" x14ac:dyDescent="0.25">
      <c r="A81" s="1">
        <v>46099</v>
      </c>
      <c r="B81">
        <v>1365</v>
      </c>
      <c r="C81">
        <v>1415</v>
      </c>
    </row>
    <row r="82" spans="1:3" x14ac:dyDescent="0.25">
      <c r="A82" s="1">
        <v>46098</v>
      </c>
      <c r="B82">
        <v>1365</v>
      </c>
      <c r="C82">
        <v>1415</v>
      </c>
    </row>
    <row r="83" spans="1:3" x14ac:dyDescent="0.25">
      <c r="A83" s="1">
        <v>46097</v>
      </c>
      <c r="B83">
        <v>1365</v>
      </c>
      <c r="C83">
        <v>1415</v>
      </c>
    </row>
    <row r="84" spans="1:3" x14ac:dyDescent="0.25">
      <c r="A84" s="1">
        <v>46096</v>
      </c>
      <c r="B84">
        <v>1370</v>
      </c>
      <c r="C84">
        <v>1420</v>
      </c>
    </row>
    <row r="85" spans="1:3" x14ac:dyDescent="0.25">
      <c r="A85" s="1">
        <v>46095</v>
      </c>
      <c r="B85">
        <v>1370</v>
      </c>
      <c r="C85">
        <v>1420</v>
      </c>
    </row>
    <row r="86" spans="1:3" x14ac:dyDescent="0.25">
      <c r="A86" s="1">
        <v>46094</v>
      </c>
      <c r="B86">
        <v>1370</v>
      </c>
      <c r="C86">
        <v>1420</v>
      </c>
    </row>
    <row r="87" spans="1:3" x14ac:dyDescent="0.25">
      <c r="A87" s="1">
        <v>46093</v>
      </c>
      <c r="B87">
        <v>1365</v>
      </c>
      <c r="C87">
        <v>1415</v>
      </c>
    </row>
    <row r="88" spans="1:3" x14ac:dyDescent="0.25">
      <c r="A88" s="1">
        <v>46092</v>
      </c>
      <c r="B88">
        <v>1365</v>
      </c>
      <c r="C88">
        <v>1415</v>
      </c>
    </row>
    <row r="89" spans="1:3" x14ac:dyDescent="0.25">
      <c r="A89" s="1">
        <v>46091</v>
      </c>
      <c r="B89">
        <v>1370</v>
      </c>
      <c r="C89">
        <v>1420</v>
      </c>
    </row>
    <row r="90" spans="1:3" x14ac:dyDescent="0.25">
      <c r="A90" s="1">
        <v>46090</v>
      </c>
      <c r="B90">
        <v>1385</v>
      </c>
      <c r="C90">
        <v>1435</v>
      </c>
    </row>
    <row r="91" spans="1:3" x14ac:dyDescent="0.25">
      <c r="A91" s="1">
        <v>46087</v>
      </c>
      <c r="B91">
        <v>1385</v>
      </c>
      <c r="C91">
        <v>1435</v>
      </c>
    </row>
    <row r="92" spans="1:3" x14ac:dyDescent="0.25">
      <c r="A92" s="1">
        <v>46086</v>
      </c>
      <c r="B92">
        <v>1375</v>
      </c>
      <c r="C92">
        <v>1425</v>
      </c>
    </row>
    <row r="93" spans="1:3" x14ac:dyDescent="0.25">
      <c r="A93" s="1">
        <v>46085</v>
      </c>
      <c r="B93">
        <v>1370</v>
      </c>
      <c r="C93">
        <v>1420</v>
      </c>
    </row>
    <row r="94" spans="1:3" x14ac:dyDescent="0.25">
      <c r="A94" s="1">
        <v>46084</v>
      </c>
      <c r="B94">
        <v>1385</v>
      </c>
      <c r="C94">
        <v>1435</v>
      </c>
    </row>
    <row r="95" spans="1:3" x14ac:dyDescent="0.25">
      <c r="A95" s="1">
        <v>46083</v>
      </c>
      <c r="B95">
        <v>1365</v>
      </c>
      <c r="C95">
        <v>1415</v>
      </c>
    </row>
    <row r="96" spans="1:3" x14ac:dyDescent="0.25">
      <c r="A96" s="1">
        <v>46081</v>
      </c>
      <c r="B96">
        <v>1370</v>
      </c>
      <c r="C96">
        <v>1420</v>
      </c>
    </row>
    <row r="97" spans="1:3" x14ac:dyDescent="0.25">
      <c r="A97" s="1">
        <v>46080</v>
      </c>
      <c r="B97">
        <v>1370</v>
      </c>
      <c r="C97">
        <v>1420</v>
      </c>
    </row>
    <row r="98" spans="1:3" x14ac:dyDescent="0.25">
      <c r="A98" s="1">
        <v>46079</v>
      </c>
      <c r="B98">
        <v>1375</v>
      </c>
      <c r="C98">
        <v>1425</v>
      </c>
    </row>
    <row r="99" spans="1:3" x14ac:dyDescent="0.25">
      <c r="A99" s="1">
        <v>46078</v>
      </c>
      <c r="B99">
        <v>1365</v>
      </c>
      <c r="C99">
        <v>1415</v>
      </c>
    </row>
    <row r="100" spans="1:3" x14ac:dyDescent="0.25">
      <c r="A100" s="1">
        <v>46077</v>
      </c>
      <c r="B100">
        <v>1350</v>
      </c>
      <c r="C100">
        <v>1400</v>
      </c>
    </row>
    <row r="101" spans="1:3" x14ac:dyDescent="0.25">
      <c r="A101" s="1">
        <v>46076</v>
      </c>
      <c r="B101">
        <v>1340</v>
      </c>
      <c r="C101">
        <v>1390</v>
      </c>
    </row>
    <row r="102" spans="1:3" x14ac:dyDescent="0.25">
      <c r="A102" s="1">
        <v>46074</v>
      </c>
      <c r="B102">
        <v>1345</v>
      </c>
      <c r="C102">
        <v>1395</v>
      </c>
    </row>
    <row r="103" spans="1:3" x14ac:dyDescent="0.25">
      <c r="A103" s="1">
        <v>46073</v>
      </c>
      <c r="B103">
        <v>1345</v>
      </c>
      <c r="C103">
        <v>1395</v>
      </c>
    </row>
    <row r="104" spans="1:3" x14ac:dyDescent="0.25">
      <c r="A104" s="1">
        <v>46072</v>
      </c>
      <c r="B104">
        <v>1360</v>
      </c>
      <c r="C104">
        <v>1410</v>
      </c>
    </row>
    <row r="105" spans="1:3" x14ac:dyDescent="0.25">
      <c r="A105" s="1">
        <v>46067</v>
      </c>
      <c r="B105">
        <v>1370</v>
      </c>
      <c r="C105">
        <v>1420</v>
      </c>
    </row>
    <row r="106" spans="1:3" x14ac:dyDescent="0.25">
      <c r="A106" s="1">
        <v>46066</v>
      </c>
      <c r="B106">
        <v>1370</v>
      </c>
      <c r="C106">
        <v>1420</v>
      </c>
    </row>
    <row r="107" spans="1:3" x14ac:dyDescent="0.25">
      <c r="A107" s="1">
        <v>46065</v>
      </c>
      <c r="B107">
        <v>1365</v>
      </c>
      <c r="C107">
        <v>1415</v>
      </c>
    </row>
    <row r="108" spans="1:3" x14ac:dyDescent="0.25">
      <c r="A108" s="1">
        <v>46064</v>
      </c>
      <c r="B108">
        <v>1370</v>
      </c>
      <c r="C108">
        <v>1420</v>
      </c>
    </row>
    <row r="109" spans="1:3" x14ac:dyDescent="0.25">
      <c r="A109" s="1">
        <v>46063</v>
      </c>
      <c r="B109">
        <v>1375</v>
      </c>
      <c r="C109">
        <v>1425</v>
      </c>
    </row>
    <row r="110" spans="1:3" x14ac:dyDescent="0.25">
      <c r="A110" s="1">
        <v>46062</v>
      </c>
      <c r="B110">
        <v>1390</v>
      </c>
      <c r="C110">
        <v>1440</v>
      </c>
    </row>
    <row r="111" spans="1:3" x14ac:dyDescent="0.25">
      <c r="A111" s="1">
        <v>46059</v>
      </c>
      <c r="B111">
        <v>1400</v>
      </c>
      <c r="C111">
        <v>1450</v>
      </c>
    </row>
    <row r="112" spans="1:3" x14ac:dyDescent="0.25">
      <c r="A112" s="1">
        <v>46058</v>
      </c>
      <c r="B112">
        <v>1410</v>
      </c>
      <c r="C112">
        <v>1460</v>
      </c>
    </row>
    <row r="113" spans="1:3" x14ac:dyDescent="0.25">
      <c r="A113" s="1">
        <v>46057</v>
      </c>
      <c r="B113">
        <v>1415</v>
      </c>
      <c r="C113">
        <v>1465</v>
      </c>
    </row>
    <row r="114" spans="1:3" x14ac:dyDescent="0.25">
      <c r="A114" s="1">
        <v>46056</v>
      </c>
      <c r="B114">
        <v>1415</v>
      </c>
      <c r="C114">
        <v>1465</v>
      </c>
    </row>
    <row r="115" spans="1:3" x14ac:dyDescent="0.25">
      <c r="A115" s="1">
        <v>46055</v>
      </c>
      <c r="B115">
        <v>1415</v>
      </c>
      <c r="C115">
        <v>1465</v>
      </c>
    </row>
    <row r="116" spans="1:3" x14ac:dyDescent="0.25">
      <c r="A116" s="1">
        <v>46054</v>
      </c>
      <c r="B116">
        <v>1415</v>
      </c>
      <c r="C116">
        <v>1465</v>
      </c>
    </row>
    <row r="117" spans="1:3" x14ac:dyDescent="0.25">
      <c r="A117" s="1">
        <v>46053</v>
      </c>
      <c r="B117">
        <v>1415</v>
      </c>
      <c r="C117">
        <v>1465</v>
      </c>
    </row>
    <row r="118" spans="1:3" x14ac:dyDescent="0.25">
      <c r="A118" s="1">
        <v>46052</v>
      </c>
      <c r="B118">
        <v>1415</v>
      </c>
      <c r="C118">
        <v>1465</v>
      </c>
    </row>
    <row r="119" spans="1:3" x14ac:dyDescent="0.25">
      <c r="A119" s="1">
        <v>46051</v>
      </c>
      <c r="B119">
        <v>1415</v>
      </c>
      <c r="C119">
        <v>1465</v>
      </c>
    </row>
    <row r="120" spans="1:3" x14ac:dyDescent="0.25">
      <c r="A120" s="1">
        <v>46050</v>
      </c>
      <c r="B120">
        <v>1415</v>
      </c>
      <c r="C120">
        <v>1465</v>
      </c>
    </row>
    <row r="121" spans="1:3" x14ac:dyDescent="0.25">
      <c r="A121" s="1">
        <v>46049</v>
      </c>
      <c r="B121">
        <v>1415</v>
      </c>
      <c r="C121">
        <v>1465</v>
      </c>
    </row>
    <row r="122" spans="1:3" x14ac:dyDescent="0.25">
      <c r="A122" s="1">
        <v>46048</v>
      </c>
      <c r="B122">
        <v>1410</v>
      </c>
      <c r="C122">
        <v>1460</v>
      </c>
    </row>
    <row r="123" spans="1:3" x14ac:dyDescent="0.25">
      <c r="A123" s="1">
        <v>46046</v>
      </c>
      <c r="B123">
        <v>1405</v>
      </c>
      <c r="C123">
        <v>1455</v>
      </c>
    </row>
    <row r="124" spans="1:3" x14ac:dyDescent="0.25">
      <c r="A124" s="1">
        <v>46045</v>
      </c>
      <c r="B124">
        <v>1405</v>
      </c>
      <c r="C124">
        <v>1455</v>
      </c>
    </row>
    <row r="125" spans="1:3" x14ac:dyDescent="0.25">
      <c r="A125" s="1">
        <v>46044</v>
      </c>
      <c r="B125">
        <v>1400</v>
      </c>
      <c r="C125">
        <v>1450</v>
      </c>
    </row>
    <row r="126" spans="1:3" x14ac:dyDescent="0.25">
      <c r="A126" s="1">
        <v>46043</v>
      </c>
      <c r="B126">
        <v>1405</v>
      </c>
      <c r="C126">
        <v>1455</v>
      </c>
    </row>
    <row r="127" spans="1:3" x14ac:dyDescent="0.25">
      <c r="A127" s="1">
        <v>46042</v>
      </c>
      <c r="B127">
        <v>1410</v>
      </c>
      <c r="C127">
        <v>1460</v>
      </c>
    </row>
    <row r="128" spans="1:3" x14ac:dyDescent="0.25">
      <c r="A128" s="1">
        <v>46041</v>
      </c>
      <c r="B128">
        <v>1410</v>
      </c>
      <c r="C128">
        <v>1460</v>
      </c>
    </row>
    <row r="129" spans="1:3" x14ac:dyDescent="0.25">
      <c r="A129" s="1">
        <v>46038</v>
      </c>
      <c r="B129">
        <v>1405</v>
      </c>
      <c r="C129">
        <v>1455</v>
      </c>
    </row>
    <row r="130" spans="1:3" x14ac:dyDescent="0.25">
      <c r="A130" s="1">
        <v>46037</v>
      </c>
      <c r="B130">
        <v>1420</v>
      </c>
      <c r="C130">
        <v>1470</v>
      </c>
    </row>
    <row r="131" spans="1:3" x14ac:dyDescent="0.25">
      <c r="A131" s="1">
        <v>46036</v>
      </c>
      <c r="B131">
        <v>1430</v>
      </c>
      <c r="C131">
        <v>1480</v>
      </c>
    </row>
    <row r="132" spans="1:3" x14ac:dyDescent="0.25">
      <c r="A132" s="1">
        <v>46035</v>
      </c>
      <c r="B132">
        <v>1435</v>
      </c>
      <c r="C132">
        <v>1485</v>
      </c>
    </row>
    <row r="133" spans="1:3" x14ac:dyDescent="0.25">
      <c r="A133" s="1">
        <v>46034</v>
      </c>
      <c r="B133">
        <v>1440</v>
      </c>
      <c r="C133">
        <v>1490</v>
      </c>
    </row>
    <row r="134" spans="1:3" x14ac:dyDescent="0.25">
      <c r="A134" s="1">
        <v>46033</v>
      </c>
      <c r="B134">
        <v>1440</v>
      </c>
      <c r="C134">
        <v>1490</v>
      </c>
    </row>
    <row r="135" spans="1:3" x14ac:dyDescent="0.25">
      <c r="A135" s="1">
        <v>46032</v>
      </c>
      <c r="B135">
        <v>1440</v>
      </c>
      <c r="C135">
        <v>1490</v>
      </c>
    </row>
    <row r="136" spans="1:3" x14ac:dyDescent="0.25">
      <c r="A136" s="1">
        <v>46031</v>
      </c>
      <c r="B136">
        <v>1440</v>
      </c>
      <c r="C136">
        <v>1490</v>
      </c>
    </row>
    <row r="137" spans="1:3" x14ac:dyDescent="0.25">
      <c r="A137" s="1">
        <v>46030</v>
      </c>
      <c r="B137">
        <v>1435</v>
      </c>
      <c r="C137">
        <v>1485</v>
      </c>
    </row>
    <row r="138" spans="1:3" x14ac:dyDescent="0.25">
      <c r="A138" s="1">
        <v>46029</v>
      </c>
      <c r="B138">
        <v>1435</v>
      </c>
      <c r="C138">
        <v>1485</v>
      </c>
    </row>
    <row r="139" spans="1:3" x14ac:dyDescent="0.25">
      <c r="A139" s="1">
        <v>46028</v>
      </c>
      <c r="B139">
        <v>1440</v>
      </c>
      <c r="C139">
        <v>1490</v>
      </c>
    </row>
    <row r="140" spans="1:3" x14ac:dyDescent="0.25">
      <c r="A140" s="1">
        <v>46027</v>
      </c>
      <c r="B140">
        <v>1445</v>
      </c>
      <c r="C140">
        <v>1495</v>
      </c>
    </row>
    <row r="141" spans="1:3" x14ac:dyDescent="0.25">
      <c r="A141" s="1">
        <v>46026</v>
      </c>
      <c r="B141">
        <v>1445</v>
      </c>
      <c r="C141">
        <v>1495</v>
      </c>
    </row>
    <row r="142" spans="1:3" x14ac:dyDescent="0.25">
      <c r="A142" s="1">
        <v>46025</v>
      </c>
      <c r="B142">
        <v>1445</v>
      </c>
      <c r="C142">
        <v>1495</v>
      </c>
    </row>
    <row r="143" spans="1:3" x14ac:dyDescent="0.25">
      <c r="A143" s="1">
        <v>46024</v>
      </c>
      <c r="B143">
        <v>1445</v>
      </c>
      <c r="C143">
        <v>1495</v>
      </c>
    </row>
    <row r="144" spans="1:3" x14ac:dyDescent="0.25">
      <c r="A144" s="1">
        <v>46023</v>
      </c>
      <c r="B144">
        <v>1430</v>
      </c>
      <c r="C144">
        <v>1480</v>
      </c>
    </row>
    <row r="145" spans="1:3" x14ac:dyDescent="0.25">
      <c r="A145" s="1">
        <v>46022</v>
      </c>
      <c r="B145">
        <v>1430</v>
      </c>
      <c r="C145">
        <v>1480</v>
      </c>
    </row>
    <row r="146" spans="1:3" x14ac:dyDescent="0.25">
      <c r="A146" s="1">
        <v>46021</v>
      </c>
      <c r="B146">
        <v>1430</v>
      </c>
      <c r="C146">
        <v>1480</v>
      </c>
    </row>
    <row r="147" spans="1:3" x14ac:dyDescent="0.25">
      <c r="A147" s="1">
        <v>46020</v>
      </c>
      <c r="B147">
        <v>1425</v>
      </c>
      <c r="C147">
        <v>1475</v>
      </c>
    </row>
    <row r="148" spans="1:3" x14ac:dyDescent="0.25">
      <c r="A148" s="1">
        <v>46018</v>
      </c>
      <c r="B148">
        <v>1425</v>
      </c>
      <c r="C148">
        <v>1475</v>
      </c>
    </row>
    <row r="149" spans="1:3" x14ac:dyDescent="0.25">
      <c r="A149" s="1">
        <v>46017</v>
      </c>
      <c r="B149">
        <v>1425</v>
      </c>
      <c r="C149">
        <v>1475</v>
      </c>
    </row>
    <row r="150" spans="1:3" x14ac:dyDescent="0.25">
      <c r="A150" s="1">
        <v>46016</v>
      </c>
      <c r="B150">
        <v>1425</v>
      </c>
      <c r="C150">
        <v>1475</v>
      </c>
    </row>
    <row r="151" spans="1:3" x14ac:dyDescent="0.25">
      <c r="A151" s="1">
        <v>46015</v>
      </c>
      <c r="B151">
        <v>1425</v>
      </c>
      <c r="C151">
        <v>1475</v>
      </c>
    </row>
    <row r="152" spans="1:3" x14ac:dyDescent="0.25">
      <c r="A152" s="1">
        <v>46014</v>
      </c>
      <c r="B152">
        <v>1425</v>
      </c>
      <c r="C152">
        <v>1475</v>
      </c>
    </row>
    <row r="153" spans="1:3" x14ac:dyDescent="0.25">
      <c r="A153" s="1">
        <v>46013</v>
      </c>
      <c r="B153">
        <v>1425</v>
      </c>
      <c r="C153">
        <v>1475</v>
      </c>
    </row>
    <row r="154" spans="1:3" x14ac:dyDescent="0.25">
      <c r="A154" s="1">
        <v>46010</v>
      </c>
      <c r="B154">
        <v>1425</v>
      </c>
      <c r="C154">
        <v>1475</v>
      </c>
    </row>
    <row r="155" spans="1:3" x14ac:dyDescent="0.25">
      <c r="A155" s="1">
        <v>46009</v>
      </c>
      <c r="B155">
        <v>1425</v>
      </c>
      <c r="C155">
        <v>1475</v>
      </c>
    </row>
    <row r="156" spans="1:3" x14ac:dyDescent="0.25">
      <c r="A156" s="1">
        <v>46008</v>
      </c>
      <c r="B156">
        <v>1425</v>
      </c>
      <c r="C156">
        <v>1475</v>
      </c>
    </row>
    <row r="157" spans="1:3" x14ac:dyDescent="0.25">
      <c r="A157" s="1">
        <v>46007</v>
      </c>
      <c r="B157">
        <v>1430</v>
      </c>
      <c r="C157">
        <v>1480</v>
      </c>
    </row>
    <row r="158" spans="1:3" x14ac:dyDescent="0.25">
      <c r="A158" s="1">
        <v>46006</v>
      </c>
      <c r="B158">
        <v>1415</v>
      </c>
      <c r="C158">
        <v>1465</v>
      </c>
    </row>
    <row r="159" spans="1:3" x14ac:dyDescent="0.25">
      <c r="A159" s="1">
        <v>46005</v>
      </c>
      <c r="B159">
        <v>1415</v>
      </c>
      <c r="C159">
        <v>1465</v>
      </c>
    </row>
    <row r="160" spans="1:3" x14ac:dyDescent="0.25">
      <c r="A160" s="1">
        <v>46003</v>
      </c>
      <c r="B160">
        <v>1415</v>
      </c>
      <c r="C160">
        <v>1465</v>
      </c>
    </row>
    <row r="161" spans="1:3" x14ac:dyDescent="0.25">
      <c r="A161" s="1">
        <v>46002</v>
      </c>
      <c r="B161">
        <v>1410</v>
      </c>
      <c r="C161">
        <v>1460</v>
      </c>
    </row>
    <row r="162" spans="1:3" x14ac:dyDescent="0.25">
      <c r="A162" s="1">
        <v>46001</v>
      </c>
      <c r="B162">
        <v>1410</v>
      </c>
      <c r="C162">
        <v>1460</v>
      </c>
    </row>
    <row r="163" spans="1:3" x14ac:dyDescent="0.25">
      <c r="A163" s="1">
        <v>46000</v>
      </c>
      <c r="B163">
        <v>1415</v>
      </c>
      <c r="C163">
        <v>1465</v>
      </c>
    </row>
    <row r="164" spans="1:3" x14ac:dyDescent="0.25">
      <c r="A164" s="1">
        <v>45997</v>
      </c>
      <c r="B164">
        <v>1410</v>
      </c>
      <c r="C164">
        <v>1460</v>
      </c>
    </row>
    <row r="165" spans="1:3" x14ac:dyDescent="0.25">
      <c r="A165" s="1">
        <v>45996</v>
      </c>
      <c r="B165">
        <v>1410</v>
      </c>
      <c r="C165">
        <v>1460</v>
      </c>
    </row>
    <row r="166" spans="1:3" x14ac:dyDescent="0.25">
      <c r="A166" s="1">
        <v>45995</v>
      </c>
      <c r="B166">
        <v>1420</v>
      </c>
      <c r="C166">
        <v>1470</v>
      </c>
    </row>
    <row r="167" spans="1:3" x14ac:dyDescent="0.25">
      <c r="A167" s="1">
        <v>45994</v>
      </c>
      <c r="B167">
        <v>1430</v>
      </c>
      <c r="C167">
        <v>1480</v>
      </c>
    </row>
    <row r="168" spans="1:3" x14ac:dyDescent="0.25">
      <c r="A168" s="1">
        <v>45993</v>
      </c>
      <c r="B168">
        <v>1430</v>
      </c>
      <c r="C168">
        <v>1480</v>
      </c>
    </row>
    <row r="169" spans="1:3" x14ac:dyDescent="0.25">
      <c r="A169" s="1">
        <v>45992</v>
      </c>
      <c r="B169">
        <v>1425</v>
      </c>
      <c r="C169">
        <v>1475</v>
      </c>
    </row>
    <row r="170" spans="1:3" x14ac:dyDescent="0.25">
      <c r="A170" s="1">
        <v>45991</v>
      </c>
      <c r="B170">
        <v>1425</v>
      </c>
      <c r="C170">
        <v>1475</v>
      </c>
    </row>
    <row r="171" spans="1:3" x14ac:dyDescent="0.25">
      <c r="A171" s="1">
        <v>45990</v>
      </c>
      <c r="B171">
        <v>1425</v>
      </c>
      <c r="C171">
        <v>1475</v>
      </c>
    </row>
    <row r="172" spans="1:3" x14ac:dyDescent="0.25">
      <c r="A172" s="1">
        <v>45989</v>
      </c>
      <c r="B172">
        <v>1425</v>
      </c>
      <c r="C172">
        <v>1475</v>
      </c>
    </row>
    <row r="173" spans="1:3" x14ac:dyDescent="0.25">
      <c r="A173" s="1">
        <v>45988</v>
      </c>
      <c r="B173">
        <v>1425</v>
      </c>
      <c r="C173">
        <v>1475</v>
      </c>
    </row>
    <row r="174" spans="1:3" x14ac:dyDescent="0.25">
      <c r="A174" s="1">
        <v>45987</v>
      </c>
      <c r="B174">
        <v>1425</v>
      </c>
      <c r="C174">
        <v>1475</v>
      </c>
    </row>
    <row r="175" spans="1:3" x14ac:dyDescent="0.25">
      <c r="A175" s="1">
        <v>45986</v>
      </c>
      <c r="B175">
        <v>1420</v>
      </c>
      <c r="C175">
        <v>1470</v>
      </c>
    </row>
    <row r="176" spans="1:3" x14ac:dyDescent="0.25">
      <c r="A176" s="1">
        <v>45983</v>
      </c>
      <c r="B176">
        <v>1400</v>
      </c>
      <c r="C176">
        <v>1450</v>
      </c>
    </row>
    <row r="177" spans="1:3" x14ac:dyDescent="0.25">
      <c r="A177" s="1">
        <v>45982</v>
      </c>
      <c r="B177">
        <v>1400</v>
      </c>
      <c r="C177">
        <v>1450</v>
      </c>
    </row>
    <row r="178" spans="1:3" x14ac:dyDescent="0.25">
      <c r="A178" s="1">
        <v>45980</v>
      </c>
      <c r="B178">
        <v>1380</v>
      </c>
      <c r="C178">
        <v>1430</v>
      </c>
    </row>
    <row r="179" spans="1:3" x14ac:dyDescent="0.25">
      <c r="A179" s="1">
        <v>45979</v>
      </c>
      <c r="B179">
        <v>1375</v>
      </c>
      <c r="C179">
        <v>1425</v>
      </c>
    </row>
    <row r="180" spans="1:3" x14ac:dyDescent="0.25">
      <c r="A180" s="1">
        <v>45975</v>
      </c>
      <c r="B180">
        <v>1375</v>
      </c>
      <c r="C180">
        <v>1425</v>
      </c>
    </row>
    <row r="181" spans="1:3" x14ac:dyDescent="0.25">
      <c r="A181" s="1">
        <v>45974</v>
      </c>
      <c r="B181">
        <v>1380</v>
      </c>
      <c r="C181">
        <v>1430</v>
      </c>
    </row>
    <row r="182" spans="1:3" x14ac:dyDescent="0.25">
      <c r="A182" s="1">
        <v>45973</v>
      </c>
      <c r="B182">
        <v>1385</v>
      </c>
      <c r="C182">
        <v>1435</v>
      </c>
    </row>
    <row r="183" spans="1:3" x14ac:dyDescent="0.25">
      <c r="A183" s="1">
        <v>45972</v>
      </c>
      <c r="B183">
        <v>1390</v>
      </c>
      <c r="C183">
        <v>1440</v>
      </c>
    </row>
    <row r="184" spans="1:3" x14ac:dyDescent="0.25">
      <c r="A184" s="1">
        <v>45971</v>
      </c>
      <c r="B184">
        <v>1395</v>
      </c>
      <c r="C184">
        <v>1445</v>
      </c>
    </row>
    <row r="185" spans="1:3" x14ac:dyDescent="0.25">
      <c r="A185" s="1">
        <v>45968</v>
      </c>
      <c r="B185">
        <v>1395</v>
      </c>
      <c r="C185">
        <v>1445</v>
      </c>
    </row>
    <row r="186" spans="1:3" x14ac:dyDescent="0.25">
      <c r="A186" s="1">
        <v>45967</v>
      </c>
      <c r="B186">
        <v>1425</v>
      </c>
      <c r="C186">
        <v>1475</v>
      </c>
    </row>
    <row r="187" spans="1:3" x14ac:dyDescent="0.25">
      <c r="A187" s="1">
        <v>45966</v>
      </c>
      <c r="B187">
        <v>1425</v>
      </c>
      <c r="C187">
        <v>1475</v>
      </c>
    </row>
    <row r="188" spans="1:3" x14ac:dyDescent="0.25">
      <c r="A188" s="1">
        <v>45965</v>
      </c>
      <c r="B188">
        <v>1435</v>
      </c>
      <c r="C188">
        <v>1485</v>
      </c>
    </row>
    <row r="189" spans="1:3" x14ac:dyDescent="0.25">
      <c r="A189" s="1">
        <v>45964</v>
      </c>
      <c r="B189">
        <v>1450</v>
      </c>
      <c r="C189">
        <v>1500</v>
      </c>
    </row>
    <row r="190" spans="1:3" x14ac:dyDescent="0.25">
      <c r="A190" s="1">
        <v>45963</v>
      </c>
      <c r="B190">
        <v>1425</v>
      </c>
      <c r="C190">
        <v>1475</v>
      </c>
    </row>
    <row r="191" spans="1:3" x14ac:dyDescent="0.25">
      <c r="A191" s="1">
        <v>45962</v>
      </c>
      <c r="B191">
        <v>1425</v>
      </c>
      <c r="C191">
        <v>1475</v>
      </c>
    </row>
    <row r="192" spans="1:3" x14ac:dyDescent="0.25">
      <c r="A192" s="1">
        <v>45961</v>
      </c>
      <c r="B192">
        <v>1425</v>
      </c>
      <c r="C192">
        <v>1475</v>
      </c>
    </row>
    <row r="193" spans="1:3" x14ac:dyDescent="0.25">
      <c r="A193" s="1">
        <v>45960</v>
      </c>
      <c r="B193">
        <v>1415</v>
      </c>
      <c r="C193">
        <v>1465</v>
      </c>
    </row>
    <row r="194" spans="1:3" x14ac:dyDescent="0.25">
      <c r="A194" s="1">
        <v>45959</v>
      </c>
      <c r="B194">
        <v>1410</v>
      </c>
      <c r="C194">
        <v>1460</v>
      </c>
    </row>
    <row r="195" spans="1:3" x14ac:dyDescent="0.25">
      <c r="A195" s="1">
        <v>45958</v>
      </c>
      <c r="B195">
        <v>1445</v>
      </c>
      <c r="C195">
        <v>1495</v>
      </c>
    </row>
    <row r="196" spans="1:3" x14ac:dyDescent="0.25">
      <c r="A196" s="1">
        <v>45957</v>
      </c>
      <c r="B196">
        <v>1410</v>
      </c>
      <c r="C196">
        <v>1460</v>
      </c>
    </row>
    <row r="197" spans="1:3" x14ac:dyDescent="0.25">
      <c r="A197" s="1">
        <v>45955</v>
      </c>
      <c r="B197">
        <v>1465</v>
      </c>
      <c r="C197">
        <v>1515</v>
      </c>
    </row>
    <row r="198" spans="1:3" x14ac:dyDescent="0.25">
      <c r="A198" s="1">
        <v>45954</v>
      </c>
      <c r="B198">
        <v>1465</v>
      </c>
      <c r="C198">
        <v>1515</v>
      </c>
    </row>
    <row r="199" spans="1:3" x14ac:dyDescent="0.25">
      <c r="A199" s="1">
        <v>45953</v>
      </c>
      <c r="B199">
        <v>1455</v>
      </c>
      <c r="C199">
        <v>1505</v>
      </c>
    </row>
    <row r="200" spans="1:3" x14ac:dyDescent="0.25">
      <c r="A200" s="1">
        <v>45952</v>
      </c>
      <c r="B200">
        <v>1465</v>
      </c>
      <c r="C200">
        <v>1515</v>
      </c>
    </row>
    <row r="201" spans="1:3" x14ac:dyDescent="0.25">
      <c r="A201" s="1">
        <v>45951</v>
      </c>
      <c r="B201">
        <v>1465</v>
      </c>
      <c r="C201">
        <v>1515</v>
      </c>
    </row>
    <row r="202" spans="1:3" x14ac:dyDescent="0.25">
      <c r="A202" s="1">
        <v>45950</v>
      </c>
      <c r="B202">
        <v>1445</v>
      </c>
      <c r="C202">
        <v>1495</v>
      </c>
    </row>
    <row r="203" spans="1:3" x14ac:dyDescent="0.25">
      <c r="A203" s="1">
        <v>45947</v>
      </c>
      <c r="B203">
        <v>1425</v>
      </c>
      <c r="C203">
        <v>1475</v>
      </c>
    </row>
    <row r="204" spans="1:3" x14ac:dyDescent="0.25">
      <c r="A204" s="1">
        <v>45946</v>
      </c>
      <c r="B204">
        <v>1380</v>
      </c>
      <c r="C204">
        <v>1430</v>
      </c>
    </row>
    <row r="205" spans="1:3" x14ac:dyDescent="0.25">
      <c r="A205" s="1">
        <v>45945</v>
      </c>
      <c r="B205">
        <v>1355</v>
      </c>
      <c r="C205">
        <v>1405</v>
      </c>
    </row>
    <row r="206" spans="1:3" x14ac:dyDescent="0.25">
      <c r="A206" s="1">
        <v>45944</v>
      </c>
      <c r="B206">
        <v>1335</v>
      </c>
      <c r="C206">
        <v>1385</v>
      </c>
    </row>
    <row r="207" spans="1:3" x14ac:dyDescent="0.25">
      <c r="A207" s="1">
        <v>45943</v>
      </c>
      <c r="B207">
        <v>1325</v>
      </c>
      <c r="C207">
        <v>1375</v>
      </c>
    </row>
    <row r="208" spans="1:3" x14ac:dyDescent="0.25">
      <c r="A208" s="1">
        <v>45942</v>
      </c>
      <c r="B208">
        <v>1400</v>
      </c>
      <c r="C208">
        <v>1450</v>
      </c>
    </row>
    <row r="209" spans="1:3" x14ac:dyDescent="0.25">
      <c r="A209" s="1">
        <v>45939</v>
      </c>
      <c r="B209">
        <v>1400</v>
      </c>
      <c r="C209">
        <v>1450</v>
      </c>
    </row>
    <row r="210" spans="1:3" x14ac:dyDescent="0.25">
      <c r="A210" s="1">
        <v>45938</v>
      </c>
      <c r="B210">
        <v>1405</v>
      </c>
      <c r="C210">
        <v>1455</v>
      </c>
    </row>
    <row r="211" spans="1:3" x14ac:dyDescent="0.25">
      <c r="A211" s="1">
        <v>45937</v>
      </c>
      <c r="B211">
        <v>1405</v>
      </c>
      <c r="C211">
        <v>1455</v>
      </c>
    </row>
    <row r="212" spans="1:3" x14ac:dyDescent="0.25">
      <c r="A212" s="1">
        <v>45936</v>
      </c>
      <c r="B212">
        <v>1405</v>
      </c>
      <c r="C212">
        <v>1455</v>
      </c>
    </row>
    <row r="213" spans="1:3" x14ac:dyDescent="0.25">
      <c r="A213" s="1">
        <v>45934</v>
      </c>
      <c r="B213">
        <v>1400</v>
      </c>
      <c r="C213">
        <v>1450</v>
      </c>
    </row>
    <row r="214" spans="1:3" x14ac:dyDescent="0.25">
      <c r="A214" s="1">
        <v>45933</v>
      </c>
      <c r="B214">
        <v>1400</v>
      </c>
      <c r="C214">
        <v>1450</v>
      </c>
    </row>
    <row r="215" spans="1:3" x14ac:dyDescent="0.25">
      <c r="A215" s="1">
        <v>45932</v>
      </c>
      <c r="B215">
        <v>1400</v>
      </c>
      <c r="C215">
        <v>1450</v>
      </c>
    </row>
    <row r="216" spans="1:3" x14ac:dyDescent="0.25">
      <c r="A216" s="1">
        <v>45931</v>
      </c>
      <c r="B216">
        <v>1400</v>
      </c>
      <c r="C216">
        <v>1450</v>
      </c>
    </row>
    <row r="217" spans="1:3" x14ac:dyDescent="0.25">
      <c r="A217" s="1">
        <v>45930</v>
      </c>
      <c r="B217">
        <v>1350</v>
      </c>
      <c r="C217">
        <v>1400</v>
      </c>
    </row>
    <row r="218" spans="1:3" x14ac:dyDescent="0.25">
      <c r="A218" s="1">
        <v>45929</v>
      </c>
      <c r="B218">
        <v>1330</v>
      </c>
      <c r="C218">
        <v>1380</v>
      </c>
    </row>
    <row r="219" spans="1:3" x14ac:dyDescent="0.25">
      <c r="A219" s="1">
        <v>45926</v>
      </c>
      <c r="B219">
        <v>1300</v>
      </c>
      <c r="C219">
        <v>1350</v>
      </c>
    </row>
    <row r="220" spans="1:3" x14ac:dyDescent="0.25">
      <c r="A220" s="1">
        <v>45925</v>
      </c>
      <c r="B220">
        <v>1305</v>
      </c>
      <c r="C220">
        <v>1355</v>
      </c>
    </row>
    <row r="221" spans="1:3" x14ac:dyDescent="0.25">
      <c r="A221" s="1">
        <v>45924</v>
      </c>
      <c r="B221">
        <v>1310</v>
      </c>
      <c r="C221">
        <v>1360</v>
      </c>
    </row>
    <row r="222" spans="1:3" x14ac:dyDescent="0.25">
      <c r="A222" s="1">
        <v>45923</v>
      </c>
      <c r="B222">
        <v>1335</v>
      </c>
      <c r="C222">
        <v>1385</v>
      </c>
    </row>
    <row r="223" spans="1:3" x14ac:dyDescent="0.25">
      <c r="A223" s="1">
        <v>45922</v>
      </c>
      <c r="B223">
        <v>1380</v>
      </c>
      <c r="C223">
        <v>1430</v>
      </c>
    </row>
    <row r="224" spans="1:3" x14ac:dyDescent="0.25">
      <c r="A224" s="1">
        <v>45921</v>
      </c>
      <c r="B224">
        <v>1465</v>
      </c>
      <c r="C224">
        <v>1515</v>
      </c>
    </row>
    <row r="225" spans="1:3" x14ac:dyDescent="0.25">
      <c r="A225" s="1">
        <v>45919</v>
      </c>
      <c r="B225">
        <v>1465</v>
      </c>
      <c r="C225">
        <v>1515</v>
      </c>
    </row>
    <row r="226" spans="1:3" x14ac:dyDescent="0.25">
      <c r="A226" s="1">
        <v>45918</v>
      </c>
      <c r="B226">
        <v>1445</v>
      </c>
      <c r="C226">
        <v>1495</v>
      </c>
    </row>
    <row r="227" spans="1:3" x14ac:dyDescent="0.25">
      <c r="A227" s="1">
        <v>45917</v>
      </c>
      <c r="B227">
        <v>1435</v>
      </c>
      <c r="C227">
        <v>1485</v>
      </c>
    </row>
    <row r="228" spans="1:3" x14ac:dyDescent="0.25">
      <c r="A228" s="1">
        <v>45916</v>
      </c>
      <c r="B228">
        <v>1430</v>
      </c>
      <c r="C228">
        <v>1480</v>
      </c>
    </row>
    <row r="229" spans="1:3" x14ac:dyDescent="0.25">
      <c r="A229" s="1">
        <v>45915</v>
      </c>
      <c r="B229">
        <v>1425</v>
      </c>
      <c r="C229">
        <v>1475</v>
      </c>
    </row>
    <row r="230" spans="1:3" x14ac:dyDescent="0.25">
      <c r="A230" s="1">
        <v>45914</v>
      </c>
      <c r="B230">
        <v>1415</v>
      </c>
      <c r="C230">
        <v>1465</v>
      </c>
    </row>
    <row r="231" spans="1:3" x14ac:dyDescent="0.25">
      <c r="A231" s="1">
        <v>45912</v>
      </c>
      <c r="B231">
        <v>1415</v>
      </c>
      <c r="C231">
        <v>1465</v>
      </c>
    </row>
    <row r="232" spans="1:3" x14ac:dyDescent="0.25">
      <c r="A232" s="1">
        <v>45911</v>
      </c>
      <c r="B232">
        <v>1395</v>
      </c>
      <c r="C232">
        <v>1445</v>
      </c>
    </row>
    <row r="233" spans="1:3" x14ac:dyDescent="0.25">
      <c r="A233" s="1">
        <v>45910</v>
      </c>
      <c r="B233">
        <v>1385</v>
      </c>
      <c r="C233">
        <v>1435</v>
      </c>
    </row>
    <row r="234" spans="1:3" x14ac:dyDescent="0.25">
      <c r="A234" s="1">
        <v>45908</v>
      </c>
      <c r="B234">
        <v>1365</v>
      </c>
      <c r="C234">
        <v>1425</v>
      </c>
    </row>
    <row r="235" spans="1:3" x14ac:dyDescent="0.25">
      <c r="A235" s="1">
        <v>45907</v>
      </c>
      <c r="B235">
        <v>1340</v>
      </c>
      <c r="C235">
        <v>1380</v>
      </c>
    </row>
    <row r="236" spans="1:3" x14ac:dyDescent="0.25">
      <c r="A236" s="1">
        <v>45905</v>
      </c>
      <c r="B236">
        <v>1340</v>
      </c>
      <c r="C236">
        <v>1380</v>
      </c>
    </row>
    <row r="237" spans="1:3" x14ac:dyDescent="0.25">
      <c r="A237" s="1">
        <v>45904</v>
      </c>
      <c r="B237">
        <v>1335</v>
      </c>
      <c r="C237">
        <v>1375</v>
      </c>
    </row>
    <row r="238" spans="1:3" x14ac:dyDescent="0.25">
      <c r="A238" s="1">
        <v>45903</v>
      </c>
      <c r="B238">
        <v>1335</v>
      </c>
      <c r="C238">
        <v>1375</v>
      </c>
    </row>
    <row r="239" spans="1:3" x14ac:dyDescent="0.25">
      <c r="A239" s="1">
        <v>45902</v>
      </c>
      <c r="B239">
        <v>1335</v>
      </c>
      <c r="C239">
        <v>1375</v>
      </c>
    </row>
    <row r="240" spans="1:3" x14ac:dyDescent="0.25">
      <c r="A240" s="1">
        <v>45901</v>
      </c>
      <c r="B240">
        <v>1345</v>
      </c>
      <c r="C240">
        <v>1385</v>
      </c>
    </row>
    <row r="241" spans="1:3" x14ac:dyDescent="0.25">
      <c r="A241" s="1">
        <v>45900</v>
      </c>
      <c r="B241">
        <v>1320</v>
      </c>
      <c r="C241">
        <v>1360</v>
      </c>
    </row>
    <row r="242" spans="1:3" x14ac:dyDescent="0.25">
      <c r="A242" s="1">
        <v>45899</v>
      </c>
      <c r="B242">
        <v>1320</v>
      </c>
      <c r="C242">
        <v>1360</v>
      </c>
    </row>
    <row r="243" spans="1:3" x14ac:dyDescent="0.25">
      <c r="A243" s="1">
        <v>45898</v>
      </c>
      <c r="B243">
        <v>1320</v>
      </c>
      <c r="C243">
        <v>1360</v>
      </c>
    </row>
    <row r="244" spans="1:3" x14ac:dyDescent="0.25">
      <c r="A244" s="1">
        <v>45897</v>
      </c>
      <c r="B244">
        <v>1305</v>
      </c>
      <c r="C244">
        <v>1345</v>
      </c>
    </row>
    <row r="245" spans="1:3" x14ac:dyDescent="0.25">
      <c r="A245" s="1">
        <v>45896</v>
      </c>
      <c r="B245">
        <v>1320</v>
      </c>
      <c r="C245">
        <v>1360</v>
      </c>
    </row>
    <row r="246" spans="1:3" x14ac:dyDescent="0.25">
      <c r="A246" s="1">
        <v>45895</v>
      </c>
      <c r="B246">
        <v>1330</v>
      </c>
      <c r="C246">
        <v>1370</v>
      </c>
    </row>
    <row r="247" spans="1:3" x14ac:dyDescent="0.25">
      <c r="A247" s="1">
        <v>45894</v>
      </c>
      <c r="B247">
        <v>1330</v>
      </c>
      <c r="C247">
        <v>1370</v>
      </c>
    </row>
    <row r="248" spans="1:3" x14ac:dyDescent="0.25">
      <c r="A248" s="1">
        <v>45893</v>
      </c>
      <c r="B248">
        <v>1295</v>
      </c>
      <c r="C248">
        <v>1335</v>
      </c>
    </row>
    <row r="249" spans="1:3" x14ac:dyDescent="0.25">
      <c r="A249" s="1">
        <v>45891</v>
      </c>
      <c r="B249">
        <v>1295</v>
      </c>
      <c r="C249">
        <v>1335</v>
      </c>
    </row>
    <row r="250" spans="1:3" x14ac:dyDescent="0.25">
      <c r="A250" s="1">
        <v>45890</v>
      </c>
      <c r="B250">
        <v>1285</v>
      </c>
      <c r="C250">
        <v>1325</v>
      </c>
    </row>
    <row r="251" spans="1:3" x14ac:dyDescent="0.25">
      <c r="A251" s="1">
        <v>45889</v>
      </c>
      <c r="B251">
        <v>1275</v>
      </c>
      <c r="C251">
        <v>1315</v>
      </c>
    </row>
    <row r="252" spans="1:3" x14ac:dyDescent="0.25">
      <c r="A252" s="1">
        <v>45888</v>
      </c>
      <c r="B252">
        <v>1270</v>
      </c>
      <c r="C252">
        <v>1310</v>
      </c>
    </row>
    <row r="253" spans="1:3" x14ac:dyDescent="0.25">
      <c r="A253" s="1">
        <v>45887</v>
      </c>
      <c r="B253">
        <v>1275</v>
      </c>
      <c r="C253">
        <v>1315</v>
      </c>
    </row>
    <row r="254" spans="1:3" x14ac:dyDescent="0.25">
      <c r="A254" s="1">
        <v>45885</v>
      </c>
      <c r="B254">
        <v>1270</v>
      </c>
      <c r="C254">
        <v>1310</v>
      </c>
    </row>
    <row r="255" spans="1:3" x14ac:dyDescent="0.25">
      <c r="A255" s="1">
        <v>45884</v>
      </c>
      <c r="B255">
        <v>1270</v>
      </c>
      <c r="C255">
        <v>1310</v>
      </c>
    </row>
    <row r="256" spans="1:3" x14ac:dyDescent="0.25">
      <c r="A256" s="1">
        <v>45883</v>
      </c>
      <c r="B256">
        <v>1270</v>
      </c>
      <c r="C256">
        <v>1310</v>
      </c>
    </row>
    <row r="257" spans="1:3" x14ac:dyDescent="0.25">
      <c r="A257" s="1">
        <v>45882</v>
      </c>
      <c r="B257">
        <v>1285</v>
      </c>
      <c r="C257">
        <v>1325</v>
      </c>
    </row>
    <row r="258" spans="1:3" x14ac:dyDescent="0.25">
      <c r="A258" s="1">
        <v>45881</v>
      </c>
      <c r="B258">
        <v>1290</v>
      </c>
      <c r="C258">
        <v>1330</v>
      </c>
    </row>
    <row r="259" spans="1:3" x14ac:dyDescent="0.25">
      <c r="A259" s="1">
        <v>45877</v>
      </c>
      <c r="B259">
        <v>1285</v>
      </c>
      <c r="C259">
        <v>1335</v>
      </c>
    </row>
    <row r="260" spans="1:3" x14ac:dyDescent="0.25">
      <c r="A260" s="1">
        <v>45876</v>
      </c>
      <c r="B260">
        <v>1290</v>
      </c>
      <c r="C260">
        <v>1340</v>
      </c>
    </row>
    <row r="261" spans="1:3" x14ac:dyDescent="0.25">
      <c r="A261" s="1">
        <v>45875</v>
      </c>
      <c r="B261">
        <v>1295</v>
      </c>
      <c r="C261">
        <v>1345</v>
      </c>
    </row>
    <row r="262" spans="1:3" x14ac:dyDescent="0.25">
      <c r="A262" s="1">
        <v>45874</v>
      </c>
      <c r="B262">
        <v>1300</v>
      </c>
      <c r="C262">
        <v>1350</v>
      </c>
    </row>
    <row r="263" spans="1:3" x14ac:dyDescent="0.25">
      <c r="A263" s="1">
        <v>45873</v>
      </c>
      <c r="B263">
        <v>1320</v>
      </c>
      <c r="C263">
        <v>1370</v>
      </c>
    </row>
    <row r="264" spans="1:3" x14ac:dyDescent="0.25">
      <c r="A264" s="1">
        <v>45872</v>
      </c>
      <c r="B264">
        <v>1325</v>
      </c>
      <c r="C264">
        <v>1375</v>
      </c>
    </row>
    <row r="265" spans="1:3" x14ac:dyDescent="0.25">
      <c r="A265" s="1">
        <v>45870</v>
      </c>
      <c r="B265">
        <v>1325</v>
      </c>
      <c r="C265">
        <v>1375</v>
      </c>
    </row>
    <row r="266" spans="1:3" x14ac:dyDescent="0.25">
      <c r="A266" s="1">
        <v>45869</v>
      </c>
      <c r="B266">
        <v>1330</v>
      </c>
      <c r="C266">
        <v>1380</v>
      </c>
    </row>
    <row r="267" spans="1:3" x14ac:dyDescent="0.25">
      <c r="A267" s="1">
        <v>45868</v>
      </c>
      <c r="B267">
        <v>1275</v>
      </c>
      <c r="C267">
        <v>1325</v>
      </c>
    </row>
    <row r="268" spans="1:3" x14ac:dyDescent="0.25">
      <c r="A268" s="1">
        <v>45867</v>
      </c>
      <c r="B268">
        <v>1250</v>
      </c>
      <c r="C268">
        <v>1300</v>
      </c>
    </row>
    <row r="269" spans="1:3" x14ac:dyDescent="0.25">
      <c r="A269" s="1">
        <v>45866</v>
      </c>
      <c r="B269">
        <v>1255</v>
      </c>
      <c r="C269">
        <v>1305</v>
      </c>
    </row>
    <row r="270" spans="1:3" x14ac:dyDescent="0.25">
      <c r="A270" s="1">
        <v>45863</v>
      </c>
      <c r="B270">
        <v>1245</v>
      </c>
      <c r="C270">
        <v>1295</v>
      </c>
    </row>
    <row r="271" spans="1:3" x14ac:dyDescent="0.25">
      <c r="A271" s="1">
        <v>45861</v>
      </c>
      <c r="B271">
        <v>1225</v>
      </c>
      <c r="C271">
        <v>1275</v>
      </c>
    </row>
    <row r="272" spans="1:3" x14ac:dyDescent="0.25">
      <c r="A272" s="1">
        <v>45860</v>
      </c>
      <c r="B272">
        <v>1225</v>
      </c>
      <c r="C272">
        <v>1275</v>
      </c>
    </row>
    <row r="273" spans="1:3" x14ac:dyDescent="0.25">
      <c r="A273" s="1">
        <v>45859</v>
      </c>
      <c r="B273">
        <v>1250</v>
      </c>
      <c r="C273">
        <v>1300</v>
      </c>
    </row>
    <row r="274" spans="1:3" x14ac:dyDescent="0.25">
      <c r="A274" s="1">
        <v>45857</v>
      </c>
      <c r="B274">
        <v>1250</v>
      </c>
      <c r="C274">
        <v>1300</v>
      </c>
    </row>
    <row r="275" spans="1:3" x14ac:dyDescent="0.25">
      <c r="A275" s="1">
        <v>45856</v>
      </c>
      <c r="B275">
        <v>1250</v>
      </c>
      <c r="C275">
        <v>1300</v>
      </c>
    </row>
    <row r="276" spans="1:3" x14ac:dyDescent="0.25">
      <c r="A276" s="1">
        <v>45855</v>
      </c>
      <c r="B276">
        <v>1240</v>
      </c>
      <c r="C276">
        <v>1290</v>
      </c>
    </row>
    <row r="277" spans="1:3" x14ac:dyDescent="0.25">
      <c r="A277" s="1">
        <v>45854</v>
      </c>
      <c r="B277">
        <v>1225</v>
      </c>
      <c r="C277">
        <v>1275</v>
      </c>
    </row>
    <row r="278" spans="1:3" x14ac:dyDescent="0.25">
      <c r="A278" s="1">
        <v>45853</v>
      </c>
      <c r="B278">
        <v>1230</v>
      </c>
      <c r="C278">
        <v>1280</v>
      </c>
    </row>
    <row r="279" spans="1:3" x14ac:dyDescent="0.25">
      <c r="A279" s="1">
        <v>45852</v>
      </c>
      <c r="B279">
        <v>1245</v>
      </c>
      <c r="C279">
        <v>1295</v>
      </c>
    </row>
    <row r="280" spans="1:3" x14ac:dyDescent="0.25">
      <c r="A280" s="1">
        <v>45849</v>
      </c>
      <c r="B280">
        <v>1225</v>
      </c>
      <c r="C280">
        <v>1275</v>
      </c>
    </row>
    <row r="281" spans="1:3" x14ac:dyDescent="0.25">
      <c r="A281" s="1">
        <v>45848</v>
      </c>
      <c r="B281">
        <v>1225</v>
      </c>
      <c r="C281">
        <v>1275</v>
      </c>
    </row>
    <row r="282" spans="1:3" x14ac:dyDescent="0.25">
      <c r="A282" s="1">
        <v>45846</v>
      </c>
      <c r="B282">
        <v>1225</v>
      </c>
      <c r="C282">
        <v>1275</v>
      </c>
    </row>
    <row r="283" spans="1:3" x14ac:dyDescent="0.25">
      <c r="A283" s="1">
        <v>45845</v>
      </c>
      <c r="B283">
        <v>1230</v>
      </c>
      <c r="C283">
        <v>1280</v>
      </c>
    </row>
    <row r="284" spans="1:3" x14ac:dyDescent="0.25">
      <c r="A284" s="1">
        <v>45842</v>
      </c>
      <c r="B284">
        <v>1210</v>
      </c>
      <c r="C284">
        <v>1260</v>
      </c>
    </row>
    <row r="285" spans="1:3" x14ac:dyDescent="0.25">
      <c r="A285" s="1">
        <v>45841</v>
      </c>
      <c r="B285">
        <v>1195</v>
      </c>
      <c r="C285">
        <v>1245</v>
      </c>
    </row>
    <row r="286" spans="1:3" x14ac:dyDescent="0.25">
      <c r="A286" s="1">
        <v>45840</v>
      </c>
      <c r="B286">
        <v>1195</v>
      </c>
      <c r="C286">
        <v>1245</v>
      </c>
    </row>
    <row r="287" spans="1:3" x14ac:dyDescent="0.25">
      <c r="A287" s="1">
        <v>45839</v>
      </c>
      <c r="B287">
        <v>1185</v>
      </c>
      <c r="C287">
        <v>1235</v>
      </c>
    </row>
    <row r="288" spans="1:3" x14ac:dyDescent="0.25">
      <c r="A288" s="1">
        <v>45838</v>
      </c>
      <c r="B288">
        <v>1165</v>
      </c>
      <c r="C288">
        <v>1215</v>
      </c>
    </row>
    <row r="289" spans="1:3" x14ac:dyDescent="0.25">
      <c r="A289" s="1">
        <v>45837</v>
      </c>
      <c r="B289">
        <v>1155</v>
      </c>
      <c r="C289">
        <v>1205</v>
      </c>
    </row>
    <row r="290" spans="1:3" x14ac:dyDescent="0.25">
      <c r="A290" s="1">
        <v>45836</v>
      </c>
      <c r="B290">
        <v>1155</v>
      </c>
      <c r="C290">
        <v>1205</v>
      </c>
    </row>
    <row r="291" spans="1:3" x14ac:dyDescent="0.25">
      <c r="A291" s="1">
        <v>45835</v>
      </c>
      <c r="B291">
        <v>1155</v>
      </c>
      <c r="C291">
        <v>1205</v>
      </c>
    </row>
    <row r="292" spans="1:3" x14ac:dyDescent="0.25">
      <c r="A292" s="1">
        <v>45834</v>
      </c>
      <c r="B292">
        <v>1155</v>
      </c>
      <c r="C292">
        <v>1205</v>
      </c>
    </row>
    <row r="293" spans="1:3" x14ac:dyDescent="0.25">
      <c r="A293" s="1">
        <v>45833</v>
      </c>
      <c r="B293">
        <v>1155</v>
      </c>
      <c r="C293">
        <v>1205</v>
      </c>
    </row>
    <row r="294" spans="1:3" x14ac:dyDescent="0.25">
      <c r="A294" s="1">
        <v>45832</v>
      </c>
      <c r="B294">
        <v>1145</v>
      </c>
      <c r="C294">
        <v>1195</v>
      </c>
    </row>
    <row r="295" spans="1:3" x14ac:dyDescent="0.25">
      <c r="A295" s="1">
        <v>45831</v>
      </c>
      <c r="B295">
        <v>1135</v>
      </c>
      <c r="C295">
        <v>1185</v>
      </c>
    </row>
    <row r="296" spans="1:3" x14ac:dyDescent="0.25">
      <c r="A296" s="1">
        <v>45827</v>
      </c>
      <c r="B296">
        <v>1130</v>
      </c>
      <c r="C296">
        <v>1180</v>
      </c>
    </row>
    <row r="297" spans="1:3" x14ac:dyDescent="0.25">
      <c r="A297" s="1">
        <v>45826</v>
      </c>
      <c r="B297">
        <v>1110</v>
      </c>
      <c r="C297">
        <v>1160</v>
      </c>
    </row>
    <row r="298" spans="1:3" x14ac:dyDescent="0.25">
      <c r="A298" s="1">
        <v>45825</v>
      </c>
      <c r="B298">
        <v>1135</v>
      </c>
      <c r="C298">
        <v>1185</v>
      </c>
    </row>
    <row r="299" spans="1:3" x14ac:dyDescent="0.25">
      <c r="A299" s="1">
        <v>45824</v>
      </c>
      <c r="B299">
        <v>1150</v>
      </c>
      <c r="C299">
        <v>1200</v>
      </c>
    </row>
    <row r="300" spans="1:3" x14ac:dyDescent="0.25">
      <c r="A300" s="1">
        <v>45823</v>
      </c>
      <c r="B300">
        <v>1150</v>
      </c>
      <c r="C300">
        <v>1200</v>
      </c>
    </row>
    <row r="301" spans="1:3" x14ac:dyDescent="0.25">
      <c r="A301" s="1">
        <v>45822</v>
      </c>
      <c r="B301">
        <v>1150</v>
      </c>
      <c r="C301">
        <v>1200</v>
      </c>
    </row>
    <row r="302" spans="1:3" x14ac:dyDescent="0.25">
      <c r="A302" s="1">
        <v>45821</v>
      </c>
      <c r="B302">
        <v>1150</v>
      </c>
      <c r="C302">
        <v>1200</v>
      </c>
    </row>
    <row r="303" spans="1:3" x14ac:dyDescent="0.25">
      <c r="A303" s="1">
        <v>45820</v>
      </c>
      <c r="B303">
        <v>1150</v>
      </c>
      <c r="C303">
        <v>1200</v>
      </c>
    </row>
    <row r="304" spans="1:3" x14ac:dyDescent="0.25">
      <c r="A304" s="1">
        <v>45819</v>
      </c>
      <c r="B304">
        <v>1150</v>
      </c>
      <c r="C304">
        <v>1200</v>
      </c>
    </row>
    <row r="305" spans="1:3" x14ac:dyDescent="0.25">
      <c r="A305" s="1">
        <v>45818</v>
      </c>
      <c r="B305">
        <v>1150</v>
      </c>
      <c r="C305">
        <v>1200</v>
      </c>
    </row>
    <row r="306" spans="1:3" x14ac:dyDescent="0.25">
      <c r="A306" s="1">
        <v>45817</v>
      </c>
      <c r="B306">
        <v>1150</v>
      </c>
      <c r="C306">
        <v>1200</v>
      </c>
    </row>
    <row r="307" spans="1:3" x14ac:dyDescent="0.25">
      <c r="A307" s="1">
        <v>45815</v>
      </c>
      <c r="B307">
        <v>1150</v>
      </c>
      <c r="C307">
        <v>1200</v>
      </c>
    </row>
    <row r="308" spans="1:3" x14ac:dyDescent="0.25">
      <c r="A308" s="1">
        <v>45814</v>
      </c>
      <c r="B308">
        <v>1150</v>
      </c>
      <c r="C308">
        <v>1200</v>
      </c>
    </row>
    <row r="309" spans="1:3" x14ac:dyDescent="0.25">
      <c r="A309" s="1">
        <v>45813</v>
      </c>
      <c r="B309">
        <v>1155</v>
      </c>
      <c r="C309">
        <v>1205</v>
      </c>
    </row>
    <row r="310" spans="1:3" x14ac:dyDescent="0.25">
      <c r="A310" s="1">
        <v>45812</v>
      </c>
      <c r="B310">
        <v>1150</v>
      </c>
      <c r="C310">
        <v>1200</v>
      </c>
    </row>
    <row r="311" spans="1:3" x14ac:dyDescent="0.25">
      <c r="A311" s="1">
        <v>45811</v>
      </c>
      <c r="B311">
        <v>1150</v>
      </c>
      <c r="C311">
        <v>1200</v>
      </c>
    </row>
    <row r="312" spans="1:3" x14ac:dyDescent="0.25">
      <c r="A312" s="1">
        <v>45810</v>
      </c>
      <c r="B312">
        <v>1150</v>
      </c>
      <c r="C312">
        <v>1200</v>
      </c>
    </row>
    <row r="313" spans="1:3" x14ac:dyDescent="0.25">
      <c r="A313" s="1">
        <v>45809</v>
      </c>
      <c r="B313">
        <v>1145</v>
      </c>
      <c r="C313">
        <v>1195</v>
      </c>
    </row>
    <row r="314" spans="1:3" x14ac:dyDescent="0.25">
      <c r="A314" s="1">
        <v>45808</v>
      </c>
      <c r="B314">
        <v>1145</v>
      </c>
      <c r="C314">
        <v>1195</v>
      </c>
    </row>
    <row r="315" spans="1:3" x14ac:dyDescent="0.25">
      <c r="A315" s="1">
        <v>45807</v>
      </c>
      <c r="B315">
        <v>1145</v>
      </c>
      <c r="C315">
        <v>1195</v>
      </c>
    </row>
    <row r="316" spans="1:3" x14ac:dyDescent="0.25">
      <c r="A316" s="1">
        <v>45805</v>
      </c>
      <c r="B316">
        <v>1125</v>
      </c>
      <c r="C316">
        <v>1175</v>
      </c>
    </row>
    <row r="317" spans="1:3" x14ac:dyDescent="0.25">
      <c r="A317" s="1">
        <v>45804</v>
      </c>
      <c r="B317">
        <v>1120</v>
      </c>
      <c r="C317">
        <v>1170</v>
      </c>
    </row>
    <row r="318" spans="1:3" x14ac:dyDescent="0.25">
      <c r="A318" s="1">
        <v>45803</v>
      </c>
      <c r="B318">
        <v>1110</v>
      </c>
      <c r="C318">
        <v>1160</v>
      </c>
    </row>
    <row r="319" spans="1:3" x14ac:dyDescent="0.25">
      <c r="A319" s="1">
        <v>45799</v>
      </c>
      <c r="B319">
        <v>1105</v>
      </c>
      <c r="C319">
        <v>1155</v>
      </c>
    </row>
    <row r="320" spans="1:3" x14ac:dyDescent="0.25">
      <c r="A320" s="1">
        <v>45798</v>
      </c>
      <c r="B320">
        <v>1110</v>
      </c>
      <c r="C320">
        <v>1160</v>
      </c>
    </row>
    <row r="321" spans="1:3" x14ac:dyDescent="0.25">
      <c r="A321" s="1">
        <v>45797</v>
      </c>
      <c r="B321">
        <v>1110</v>
      </c>
      <c r="C321">
        <v>1160</v>
      </c>
    </row>
    <row r="322" spans="1:3" x14ac:dyDescent="0.25">
      <c r="A322" s="1">
        <v>45796</v>
      </c>
      <c r="B322">
        <v>1105</v>
      </c>
      <c r="C322">
        <v>1155</v>
      </c>
    </row>
    <row r="323" spans="1:3" x14ac:dyDescent="0.25">
      <c r="A323" s="1">
        <v>45793</v>
      </c>
      <c r="B323">
        <v>1110</v>
      </c>
      <c r="C323">
        <v>1160</v>
      </c>
    </row>
    <row r="324" spans="1:3" x14ac:dyDescent="0.25">
      <c r="A324" s="1">
        <v>45792</v>
      </c>
      <c r="B324">
        <v>1100</v>
      </c>
      <c r="C324">
        <v>1150</v>
      </c>
    </row>
    <row r="325" spans="1:3" x14ac:dyDescent="0.25">
      <c r="A325" s="1">
        <v>45791</v>
      </c>
      <c r="B325">
        <v>1100</v>
      </c>
      <c r="C325">
        <v>1150</v>
      </c>
    </row>
    <row r="326" spans="1:3" x14ac:dyDescent="0.25">
      <c r="A326" s="1">
        <v>45790</v>
      </c>
      <c r="B326">
        <v>1100</v>
      </c>
      <c r="C326">
        <v>1150</v>
      </c>
    </row>
    <row r="327" spans="1:3" x14ac:dyDescent="0.25">
      <c r="A327" s="1">
        <v>45789</v>
      </c>
      <c r="B327">
        <v>1100</v>
      </c>
      <c r="C327">
        <v>1150</v>
      </c>
    </row>
    <row r="328" spans="1:3" x14ac:dyDescent="0.25">
      <c r="A328" s="1">
        <v>45788</v>
      </c>
      <c r="B328">
        <v>1100</v>
      </c>
      <c r="C328">
        <v>1150</v>
      </c>
    </row>
    <row r="329" spans="1:3" x14ac:dyDescent="0.25">
      <c r="A329" s="1">
        <v>45786</v>
      </c>
      <c r="B329">
        <v>1100</v>
      </c>
      <c r="C329">
        <v>1150</v>
      </c>
    </row>
    <row r="330" spans="1:3" x14ac:dyDescent="0.25">
      <c r="A330" s="1">
        <v>45785</v>
      </c>
      <c r="B330">
        <v>1080</v>
      </c>
      <c r="C330">
        <v>1130</v>
      </c>
    </row>
    <row r="331" spans="1:3" x14ac:dyDescent="0.25">
      <c r="A331" s="1">
        <v>45784</v>
      </c>
      <c r="B331">
        <v>1090</v>
      </c>
      <c r="C331">
        <v>1140</v>
      </c>
    </row>
    <row r="332" spans="1:3" x14ac:dyDescent="0.25">
      <c r="A332" s="1">
        <v>45783</v>
      </c>
      <c r="B332">
        <v>1165</v>
      </c>
      <c r="C332">
        <v>1215</v>
      </c>
    </row>
    <row r="333" spans="1:3" x14ac:dyDescent="0.25">
      <c r="A333" s="1">
        <v>45782</v>
      </c>
      <c r="B333">
        <v>1160</v>
      </c>
      <c r="C333">
        <v>1210</v>
      </c>
    </row>
    <row r="334" spans="1:3" x14ac:dyDescent="0.25">
      <c r="A334" s="1">
        <v>45781</v>
      </c>
      <c r="B334">
        <v>1140</v>
      </c>
      <c r="C334">
        <v>1190</v>
      </c>
    </row>
    <row r="335" spans="1:3" x14ac:dyDescent="0.25">
      <c r="A335" s="1">
        <v>45780</v>
      </c>
      <c r="B335">
        <v>1140</v>
      </c>
      <c r="C335">
        <v>1190</v>
      </c>
    </row>
    <row r="336" spans="1:3" x14ac:dyDescent="0.25">
      <c r="A336" s="1">
        <v>45779</v>
      </c>
      <c r="B336">
        <v>1140</v>
      </c>
      <c r="C336">
        <v>1190</v>
      </c>
    </row>
    <row r="337" spans="1:3" x14ac:dyDescent="0.25">
      <c r="A337" s="1">
        <v>45778</v>
      </c>
      <c r="B337">
        <v>1140</v>
      </c>
      <c r="C337">
        <v>1190</v>
      </c>
    </row>
    <row r="338" spans="1:3" x14ac:dyDescent="0.25">
      <c r="A338" s="1">
        <v>45777</v>
      </c>
      <c r="B338">
        <v>1140</v>
      </c>
      <c r="C338">
        <v>1190</v>
      </c>
    </row>
    <row r="339" spans="1:3" x14ac:dyDescent="0.25">
      <c r="A339" s="1">
        <v>45776</v>
      </c>
      <c r="B339">
        <v>1130</v>
      </c>
      <c r="C339">
        <v>1180</v>
      </c>
    </row>
    <row r="340" spans="1:3" x14ac:dyDescent="0.25">
      <c r="A340" s="1">
        <v>45775</v>
      </c>
      <c r="B340">
        <v>1140</v>
      </c>
      <c r="C340">
        <v>1190</v>
      </c>
    </row>
    <row r="341" spans="1:3" x14ac:dyDescent="0.25">
      <c r="A341" s="1">
        <v>45773</v>
      </c>
      <c r="B341">
        <v>1140</v>
      </c>
      <c r="C341">
        <v>1190</v>
      </c>
    </row>
    <row r="342" spans="1:3" x14ac:dyDescent="0.25">
      <c r="A342" s="1">
        <v>45772</v>
      </c>
      <c r="B342">
        <v>1140</v>
      </c>
      <c r="C342">
        <v>1190</v>
      </c>
    </row>
    <row r="343" spans="1:3" x14ac:dyDescent="0.25">
      <c r="A343" s="1">
        <v>45771</v>
      </c>
      <c r="B343">
        <v>1140</v>
      </c>
      <c r="C343">
        <v>1190</v>
      </c>
    </row>
    <row r="344" spans="1:3" x14ac:dyDescent="0.25">
      <c r="A344" s="1">
        <v>45770</v>
      </c>
      <c r="B344">
        <v>1120</v>
      </c>
      <c r="C344">
        <v>1170</v>
      </c>
    </row>
    <row r="345" spans="1:3" x14ac:dyDescent="0.25">
      <c r="A345" s="1">
        <v>45769</v>
      </c>
      <c r="B345">
        <v>1070</v>
      </c>
      <c r="C345">
        <v>1120</v>
      </c>
    </row>
    <row r="346" spans="1:3" x14ac:dyDescent="0.25">
      <c r="A346" s="1">
        <v>45768</v>
      </c>
      <c r="B346">
        <v>1060</v>
      </c>
      <c r="C346">
        <v>1110</v>
      </c>
    </row>
    <row r="347" spans="1:3" x14ac:dyDescent="0.25">
      <c r="A347" s="1">
        <v>45764</v>
      </c>
      <c r="B347">
        <v>1110</v>
      </c>
      <c r="C347">
        <v>1160</v>
      </c>
    </row>
    <row r="348" spans="1:3" x14ac:dyDescent="0.25">
      <c r="A348" s="1">
        <v>45763</v>
      </c>
      <c r="B348">
        <v>1110</v>
      </c>
      <c r="C348">
        <v>1160</v>
      </c>
    </row>
    <row r="349" spans="1:3" x14ac:dyDescent="0.25">
      <c r="A349" s="1">
        <v>45762</v>
      </c>
      <c r="B349">
        <v>1180</v>
      </c>
      <c r="C349">
        <v>1230</v>
      </c>
    </row>
    <row r="350" spans="1:3" x14ac:dyDescent="0.25">
      <c r="A350" s="1">
        <v>45761</v>
      </c>
      <c r="B350">
        <v>1180</v>
      </c>
      <c r="C350">
        <v>1230</v>
      </c>
    </row>
    <row r="351" spans="1:3" x14ac:dyDescent="0.25">
      <c r="A351" s="1">
        <v>45760</v>
      </c>
      <c r="B351">
        <v>1037.5</v>
      </c>
      <c r="C351">
        <v>1097.5</v>
      </c>
    </row>
    <row r="352" spans="1:3" x14ac:dyDescent="0.25">
      <c r="A352" s="1">
        <v>45758</v>
      </c>
      <c r="B352">
        <v>1037.5</v>
      </c>
      <c r="C352">
        <v>1097.5</v>
      </c>
    </row>
    <row r="353" spans="1:3" x14ac:dyDescent="0.25">
      <c r="A353" s="1">
        <v>45757</v>
      </c>
      <c r="B353">
        <v>1036.75</v>
      </c>
      <c r="C353">
        <v>1096.75</v>
      </c>
    </row>
    <row r="354" spans="1:3" x14ac:dyDescent="0.25">
      <c r="A354" s="1">
        <v>45756</v>
      </c>
      <c r="B354">
        <v>1036.5</v>
      </c>
      <c r="C354">
        <v>1096.5</v>
      </c>
    </row>
    <row r="355" spans="1:3" x14ac:dyDescent="0.25">
      <c r="A355" s="1">
        <v>45755</v>
      </c>
      <c r="B355">
        <v>1056</v>
      </c>
      <c r="C355">
        <v>1096</v>
      </c>
    </row>
    <row r="356" spans="1:3" x14ac:dyDescent="0.25">
      <c r="A356" s="1">
        <v>45754</v>
      </c>
      <c r="B356">
        <v>1055.75</v>
      </c>
      <c r="C356">
        <v>1095.75</v>
      </c>
    </row>
    <row r="357" spans="1:3" x14ac:dyDescent="0.25">
      <c r="A357" s="1">
        <v>45751</v>
      </c>
      <c r="B357">
        <v>1055.5</v>
      </c>
      <c r="C357">
        <v>1095.5</v>
      </c>
    </row>
    <row r="358" spans="1:3" x14ac:dyDescent="0.25">
      <c r="A358" s="1">
        <v>45750</v>
      </c>
      <c r="B358">
        <v>1054.5</v>
      </c>
      <c r="C358">
        <v>1094.5</v>
      </c>
    </row>
    <row r="359" spans="1:3" x14ac:dyDescent="0.25">
      <c r="A359" s="1">
        <v>45748</v>
      </c>
      <c r="B359">
        <v>1054.25</v>
      </c>
      <c r="C359">
        <v>1094.25</v>
      </c>
    </row>
    <row r="360" spans="1:3" x14ac:dyDescent="0.25">
      <c r="A360" s="1">
        <v>45747</v>
      </c>
      <c r="B360">
        <v>1053.5</v>
      </c>
      <c r="C360">
        <v>1093.5</v>
      </c>
    </row>
    <row r="361" spans="1:3" x14ac:dyDescent="0.25">
      <c r="A361" s="1">
        <v>45745</v>
      </c>
      <c r="B361">
        <v>1053</v>
      </c>
      <c r="C361">
        <v>1093</v>
      </c>
    </row>
    <row r="362" spans="1:3" x14ac:dyDescent="0.25">
      <c r="A362" s="1">
        <v>45744</v>
      </c>
      <c r="B362">
        <v>1053</v>
      </c>
      <c r="C362">
        <v>1093</v>
      </c>
    </row>
    <row r="363" spans="1:3" x14ac:dyDescent="0.25">
      <c r="A363" s="1">
        <v>45743</v>
      </c>
      <c r="B363">
        <v>1051.75</v>
      </c>
      <c r="C363">
        <v>1091.75</v>
      </c>
    </row>
    <row r="364" spans="1:3" x14ac:dyDescent="0.25">
      <c r="A364" s="1">
        <v>45741</v>
      </c>
      <c r="B364">
        <v>1051.25</v>
      </c>
      <c r="C364">
        <v>1091.25</v>
      </c>
    </row>
    <row r="365" spans="1:3" x14ac:dyDescent="0.25">
      <c r="A365" s="1">
        <v>45740</v>
      </c>
      <c r="B365">
        <v>1051</v>
      </c>
      <c r="C365">
        <v>1091</v>
      </c>
    </row>
    <row r="366" spans="1:3" x14ac:dyDescent="0.25">
      <c r="A366" s="1">
        <v>45739</v>
      </c>
      <c r="B366">
        <v>1051</v>
      </c>
      <c r="C366">
        <v>1091</v>
      </c>
    </row>
    <row r="367" spans="1:3" x14ac:dyDescent="0.25">
      <c r="A367" s="1">
        <v>45738</v>
      </c>
      <c r="B367">
        <v>1051</v>
      </c>
      <c r="C367">
        <v>1091</v>
      </c>
    </row>
    <row r="368" spans="1:3" x14ac:dyDescent="0.25">
      <c r="A368" s="1">
        <v>45737</v>
      </c>
      <c r="B368">
        <v>1051</v>
      </c>
      <c r="C368">
        <v>1091</v>
      </c>
    </row>
    <row r="369" spans="1:3" x14ac:dyDescent="0.25">
      <c r="A369" s="1">
        <v>45736</v>
      </c>
      <c r="B369">
        <v>1049.5</v>
      </c>
      <c r="C369">
        <v>1089.5</v>
      </c>
    </row>
    <row r="370" spans="1:3" x14ac:dyDescent="0.25">
      <c r="A370" s="1">
        <v>45735</v>
      </c>
      <c r="B370">
        <v>1049.25</v>
      </c>
      <c r="C370">
        <v>1089.25</v>
      </c>
    </row>
    <row r="371" spans="1:3" x14ac:dyDescent="0.25">
      <c r="A371" s="1">
        <v>45734</v>
      </c>
      <c r="B371">
        <v>1048.5</v>
      </c>
      <c r="C371">
        <v>1088.5</v>
      </c>
    </row>
    <row r="372" spans="1:3" x14ac:dyDescent="0.25">
      <c r="A372" s="1">
        <v>45733</v>
      </c>
      <c r="B372">
        <v>1048.25</v>
      </c>
      <c r="C372">
        <v>1088.25</v>
      </c>
    </row>
    <row r="373" spans="1:3" x14ac:dyDescent="0.25">
      <c r="A373" s="1">
        <v>45732</v>
      </c>
      <c r="B373">
        <v>1048</v>
      </c>
      <c r="C373">
        <v>1088</v>
      </c>
    </row>
    <row r="374" spans="1:3" x14ac:dyDescent="0.25">
      <c r="A374" s="1">
        <v>45731</v>
      </c>
      <c r="B374">
        <v>1048</v>
      </c>
      <c r="C374">
        <v>1088</v>
      </c>
    </row>
    <row r="375" spans="1:3" x14ac:dyDescent="0.25">
      <c r="A375" s="1">
        <v>45730</v>
      </c>
      <c r="B375">
        <v>1048</v>
      </c>
      <c r="C375">
        <v>1088</v>
      </c>
    </row>
    <row r="376" spans="1:3" x14ac:dyDescent="0.25">
      <c r="A376" s="1">
        <v>45729</v>
      </c>
      <c r="B376">
        <v>1046.5</v>
      </c>
      <c r="C376">
        <v>1086.5</v>
      </c>
    </row>
    <row r="377" spans="1:3" x14ac:dyDescent="0.25">
      <c r="A377" s="1">
        <v>45728</v>
      </c>
      <c r="B377">
        <v>1046.25</v>
      </c>
      <c r="C377">
        <v>1086.25</v>
      </c>
    </row>
    <row r="378" spans="1:3" x14ac:dyDescent="0.25">
      <c r="A378" s="1">
        <v>45727</v>
      </c>
      <c r="B378">
        <v>1046.25</v>
      </c>
      <c r="C378">
        <v>1086.25</v>
      </c>
    </row>
    <row r="379" spans="1:3" x14ac:dyDescent="0.25">
      <c r="A379" s="1">
        <v>45726</v>
      </c>
      <c r="B379">
        <v>1046.25</v>
      </c>
      <c r="C379">
        <v>1086.25</v>
      </c>
    </row>
    <row r="380" spans="1:3" x14ac:dyDescent="0.25">
      <c r="A380" s="1">
        <v>45723</v>
      </c>
      <c r="B380">
        <v>1046</v>
      </c>
      <c r="C380">
        <v>1086</v>
      </c>
    </row>
    <row r="381" spans="1:3" x14ac:dyDescent="0.25">
      <c r="A381" s="1">
        <v>45722</v>
      </c>
      <c r="B381">
        <v>1044.5</v>
      </c>
      <c r="C381">
        <v>1084.5</v>
      </c>
    </row>
    <row r="382" spans="1:3" x14ac:dyDescent="0.25">
      <c r="A382" s="1">
        <v>45721</v>
      </c>
      <c r="B382">
        <v>1044.5</v>
      </c>
      <c r="C382">
        <v>1084.5</v>
      </c>
    </row>
    <row r="383" spans="1:3" x14ac:dyDescent="0.25">
      <c r="A383" s="1">
        <v>45720</v>
      </c>
      <c r="B383">
        <v>1044.25</v>
      </c>
      <c r="C383">
        <v>1084.25</v>
      </c>
    </row>
    <row r="384" spans="1:3" x14ac:dyDescent="0.25">
      <c r="A384" s="1">
        <v>45719</v>
      </c>
      <c r="B384">
        <v>1044.25</v>
      </c>
      <c r="C384">
        <v>1084.25</v>
      </c>
    </row>
    <row r="385" spans="1:3" x14ac:dyDescent="0.25">
      <c r="A385" s="1">
        <v>45718</v>
      </c>
      <c r="B385">
        <v>1044.25</v>
      </c>
      <c r="C385">
        <v>1084.25</v>
      </c>
    </row>
    <row r="386" spans="1:3" x14ac:dyDescent="0.25">
      <c r="A386" s="1">
        <v>45717</v>
      </c>
      <c r="B386">
        <v>1044.25</v>
      </c>
      <c r="C386">
        <v>1084.25</v>
      </c>
    </row>
    <row r="387" spans="1:3" x14ac:dyDescent="0.25">
      <c r="A387" s="1">
        <v>45716</v>
      </c>
      <c r="B387">
        <v>1044.25</v>
      </c>
      <c r="C387">
        <v>1084.25</v>
      </c>
    </row>
    <row r="388" spans="1:3" x14ac:dyDescent="0.25">
      <c r="A388" s="1">
        <v>45715</v>
      </c>
      <c r="B388">
        <v>1041.75</v>
      </c>
      <c r="C388">
        <v>1081.75</v>
      </c>
    </row>
    <row r="389" spans="1:3" x14ac:dyDescent="0.25">
      <c r="A389" s="1">
        <v>45713</v>
      </c>
      <c r="B389">
        <v>1041</v>
      </c>
      <c r="C389">
        <v>1081</v>
      </c>
    </row>
    <row r="390" spans="1:3" x14ac:dyDescent="0.25">
      <c r="A390" s="1">
        <v>45712</v>
      </c>
      <c r="B390">
        <v>1040.5</v>
      </c>
      <c r="C390">
        <v>1080.5</v>
      </c>
    </row>
    <row r="391" spans="1:3" x14ac:dyDescent="0.25">
      <c r="A391" s="1">
        <v>45709</v>
      </c>
      <c r="B391">
        <v>1040.25</v>
      </c>
      <c r="C391">
        <v>1080.25</v>
      </c>
    </row>
    <row r="392" spans="1:3" x14ac:dyDescent="0.25">
      <c r="A392" s="1">
        <v>45708</v>
      </c>
      <c r="B392">
        <v>1039.25</v>
      </c>
      <c r="C392">
        <v>1079.25</v>
      </c>
    </row>
    <row r="393" spans="1:3" x14ac:dyDescent="0.25">
      <c r="A393" s="1">
        <v>45707</v>
      </c>
      <c r="B393">
        <v>1039</v>
      </c>
      <c r="C393">
        <v>1079</v>
      </c>
    </row>
    <row r="394" spans="1:3" x14ac:dyDescent="0.25">
      <c r="A394" s="1">
        <v>45706</v>
      </c>
      <c r="B394">
        <v>1039</v>
      </c>
      <c r="C394">
        <v>1079</v>
      </c>
    </row>
    <row r="395" spans="1:3" x14ac:dyDescent="0.25">
      <c r="A395" s="1">
        <v>45705</v>
      </c>
      <c r="B395">
        <v>1038.75</v>
      </c>
      <c r="C395">
        <v>1078.75</v>
      </c>
    </row>
    <row r="396" spans="1:3" x14ac:dyDescent="0.25">
      <c r="A396" s="1">
        <v>45704</v>
      </c>
      <c r="B396">
        <v>1038</v>
      </c>
      <c r="C396">
        <v>1078</v>
      </c>
    </row>
    <row r="397" spans="1:3" x14ac:dyDescent="0.25">
      <c r="A397" s="1">
        <v>45703</v>
      </c>
      <c r="B397">
        <v>1038</v>
      </c>
      <c r="C397">
        <v>1078</v>
      </c>
    </row>
    <row r="398" spans="1:3" x14ac:dyDescent="0.25">
      <c r="A398" s="1">
        <v>45702</v>
      </c>
      <c r="B398">
        <v>1038</v>
      </c>
      <c r="C398">
        <v>1078</v>
      </c>
    </row>
    <row r="399" spans="1:3" x14ac:dyDescent="0.25">
      <c r="A399" s="1">
        <v>45701</v>
      </c>
      <c r="B399">
        <v>1037.25</v>
      </c>
      <c r="C399">
        <v>1077.25</v>
      </c>
    </row>
    <row r="400" spans="1:3" x14ac:dyDescent="0.25">
      <c r="A400" s="1">
        <v>45700</v>
      </c>
      <c r="B400">
        <v>1036.25</v>
      </c>
      <c r="C400">
        <v>1076.25</v>
      </c>
    </row>
    <row r="401" spans="1:3" x14ac:dyDescent="0.25">
      <c r="A401" s="1">
        <v>45699</v>
      </c>
      <c r="B401">
        <v>1036</v>
      </c>
      <c r="C401">
        <v>1076</v>
      </c>
    </row>
    <row r="402" spans="1:3" x14ac:dyDescent="0.25">
      <c r="A402" s="1">
        <v>45696</v>
      </c>
      <c r="B402">
        <v>1035.75</v>
      </c>
      <c r="C402">
        <v>1075.75</v>
      </c>
    </row>
    <row r="403" spans="1:3" x14ac:dyDescent="0.25">
      <c r="A403" s="1">
        <v>45695</v>
      </c>
      <c r="B403">
        <v>1035.75</v>
      </c>
      <c r="C403">
        <v>1075.75</v>
      </c>
    </row>
    <row r="404" spans="1:3" x14ac:dyDescent="0.25">
      <c r="A404" s="1">
        <v>45694</v>
      </c>
      <c r="B404">
        <v>1034.75</v>
      </c>
      <c r="C404">
        <v>1074.75</v>
      </c>
    </row>
    <row r="405" spans="1:3" x14ac:dyDescent="0.25">
      <c r="A405" s="1">
        <v>45693</v>
      </c>
      <c r="B405">
        <v>1034.5</v>
      </c>
      <c r="C405">
        <v>1074.5</v>
      </c>
    </row>
    <row r="406" spans="1:3" x14ac:dyDescent="0.25">
      <c r="A406" s="1">
        <v>45692</v>
      </c>
      <c r="B406">
        <v>1034.5</v>
      </c>
      <c r="C406">
        <v>1074.5</v>
      </c>
    </row>
    <row r="407" spans="1:3" x14ac:dyDescent="0.25">
      <c r="A407" s="1">
        <v>45691</v>
      </c>
      <c r="B407">
        <v>1034.25</v>
      </c>
      <c r="C407">
        <v>1074.25</v>
      </c>
    </row>
    <row r="408" spans="1:3" x14ac:dyDescent="0.25">
      <c r="A408" s="1">
        <v>45690</v>
      </c>
      <c r="B408">
        <v>1033.5</v>
      </c>
      <c r="C408">
        <v>1073.5</v>
      </c>
    </row>
    <row r="409" spans="1:3" x14ac:dyDescent="0.25">
      <c r="A409" s="1">
        <v>45689</v>
      </c>
      <c r="B409">
        <v>1033.5</v>
      </c>
      <c r="C409">
        <v>1073.5</v>
      </c>
    </row>
    <row r="410" spans="1:3" x14ac:dyDescent="0.25">
      <c r="A410" s="1">
        <v>45688</v>
      </c>
      <c r="B410">
        <v>1033.5</v>
      </c>
      <c r="C410">
        <v>1073.5</v>
      </c>
    </row>
    <row r="411" spans="1:3" x14ac:dyDescent="0.25">
      <c r="A411" s="1">
        <v>45687</v>
      </c>
      <c r="B411">
        <v>1032</v>
      </c>
      <c r="C411">
        <v>1072</v>
      </c>
    </row>
    <row r="412" spans="1:3" x14ac:dyDescent="0.25">
      <c r="A412" s="1">
        <v>45686</v>
      </c>
      <c r="B412">
        <v>1031.5</v>
      </c>
      <c r="C412">
        <v>1071.5</v>
      </c>
    </row>
    <row r="413" spans="1:3" x14ac:dyDescent="0.25">
      <c r="A413" s="1">
        <v>45682</v>
      </c>
      <c r="B413">
        <v>1029</v>
      </c>
      <c r="C413">
        <v>1069</v>
      </c>
    </row>
    <row r="414" spans="1:3" x14ac:dyDescent="0.25">
      <c r="A414" s="1">
        <v>45681</v>
      </c>
      <c r="B414">
        <v>1029</v>
      </c>
      <c r="C414">
        <v>1069</v>
      </c>
    </row>
    <row r="415" spans="1:3" x14ac:dyDescent="0.25">
      <c r="A415" s="1">
        <v>45680</v>
      </c>
      <c r="B415">
        <v>1028</v>
      </c>
      <c r="C415">
        <v>1068</v>
      </c>
    </row>
    <row r="416" spans="1:3" x14ac:dyDescent="0.25">
      <c r="A416" s="1">
        <v>45679</v>
      </c>
      <c r="B416">
        <v>1027.5</v>
      </c>
      <c r="C416">
        <v>1067.5</v>
      </c>
    </row>
    <row r="417" spans="1:3" x14ac:dyDescent="0.25">
      <c r="A417" s="1">
        <v>45678</v>
      </c>
      <c r="B417">
        <v>1026.5</v>
      </c>
      <c r="C417">
        <v>1066.5</v>
      </c>
    </row>
    <row r="418" spans="1:3" x14ac:dyDescent="0.25">
      <c r="A418" s="1">
        <v>45677</v>
      </c>
      <c r="B418">
        <v>1026</v>
      </c>
      <c r="C418">
        <v>1066</v>
      </c>
    </row>
    <row r="419" spans="1:3" x14ac:dyDescent="0.25">
      <c r="A419" s="1">
        <v>45674</v>
      </c>
      <c r="B419">
        <v>1023.5</v>
      </c>
      <c r="C419">
        <v>1063.5</v>
      </c>
    </row>
    <row r="420" spans="1:3" x14ac:dyDescent="0.25">
      <c r="A420" s="1">
        <v>45673</v>
      </c>
      <c r="B420">
        <v>1022</v>
      </c>
      <c r="C420">
        <v>1062</v>
      </c>
    </row>
    <row r="421" spans="1:3" x14ac:dyDescent="0.25">
      <c r="A421" s="1">
        <v>45672</v>
      </c>
      <c r="B421">
        <v>1021.5</v>
      </c>
      <c r="C421">
        <v>1061.5</v>
      </c>
    </row>
    <row r="422" spans="1:3" x14ac:dyDescent="0.25">
      <c r="A422" s="1">
        <v>45671</v>
      </c>
      <c r="B422">
        <v>1020.5</v>
      </c>
      <c r="C422">
        <v>1060.5</v>
      </c>
    </row>
    <row r="423" spans="1:3" x14ac:dyDescent="0.25">
      <c r="A423" s="1">
        <v>45667</v>
      </c>
      <c r="B423">
        <v>1019</v>
      </c>
      <c r="C423">
        <v>1059</v>
      </c>
    </row>
    <row r="424" spans="1:3" x14ac:dyDescent="0.25">
      <c r="A424" s="1">
        <v>45666</v>
      </c>
      <c r="B424">
        <v>1017</v>
      </c>
      <c r="C424">
        <v>1057</v>
      </c>
    </row>
    <row r="425" spans="1:3" x14ac:dyDescent="0.25">
      <c r="A425" s="1">
        <v>45665</v>
      </c>
      <c r="B425">
        <v>1016</v>
      </c>
      <c r="C425">
        <v>1056</v>
      </c>
    </row>
    <row r="426" spans="1:3" x14ac:dyDescent="0.25">
      <c r="A426" s="1">
        <v>45664</v>
      </c>
      <c r="B426">
        <v>1015.5</v>
      </c>
      <c r="C426">
        <v>1055.5</v>
      </c>
    </row>
    <row r="427" spans="1:3" x14ac:dyDescent="0.25">
      <c r="A427" s="1">
        <v>45663</v>
      </c>
      <c r="B427">
        <v>1015</v>
      </c>
      <c r="C427">
        <v>1055</v>
      </c>
    </row>
    <row r="428" spans="1:3" x14ac:dyDescent="0.25">
      <c r="A428" s="1">
        <v>45661</v>
      </c>
      <c r="B428">
        <v>1015</v>
      </c>
      <c r="C428">
        <v>1055</v>
      </c>
    </row>
    <row r="429" spans="1:3" x14ac:dyDescent="0.25">
      <c r="A429" s="1">
        <v>45660</v>
      </c>
      <c r="B429">
        <v>1015</v>
      </c>
      <c r="C429">
        <v>1055</v>
      </c>
    </row>
    <row r="430" spans="1:3" x14ac:dyDescent="0.25">
      <c r="A430" s="1">
        <v>45659</v>
      </c>
      <c r="B430">
        <v>1012.5</v>
      </c>
      <c r="C430">
        <v>1052.5</v>
      </c>
    </row>
    <row r="431" spans="1:3" x14ac:dyDescent="0.25">
      <c r="A431" s="1">
        <v>45658</v>
      </c>
      <c r="B431">
        <v>1012.5</v>
      </c>
      <c r="C431">
        <v>1052.5</v>
      </c>
    </row>
    <row r="432" spans="1:3" x14ac:dyDescent="0.25">
      <c r="A432" s="1">
        <v>46197</v>
      </c>
      <c r="B432">
        <v>1445</v>
      </c>
      <c r="C432">
        <v>1495</v>
      </c>
    </row>
    <row r="433" spans="1:3" x14ac:dyDescent="0.25">
      <c r="A433" s="1">
        <v>46202</v>
      </c>
      <c r="B433">
        <v>1445</v>
      </c>
      <c r="C433">
        <v>1495</v>
      </c>
    </row>
    <row r="434" spans="1:3" x14ac:dyDescent="0.25">
      <c r="A434" s="1">
        <v>46204</v>
      </c>
      <c r="B434">
        <v>1460</v>
      </c>
      <c r="C434">
        <v>1510</v>
      </c>
    </row>
    <row r="435" spans="1:3" x14ac:dyDescent="0.25">
      <c r="A435" s="1">
        <v>46198</v>
      </c>
      <c r="B435">
        <v>1445</v>
      </c>
      <c r="C435">
        <v>1495</v>
      </c>
    </row>
    <row r="436" spans="1:3" x14ac:dyDescent="0.25">
      <c r="A436" s="1">
        <v>46205</v>
      </c>
      <c r="B436">
        <v>1460</v>
      </c>
      <c r="C436">
        <v>1510</v>
      </c>
    </row>
    <row r="437" spans="1:3" x14ac:dyDescent="0.25">
      <c r="A437" s="1">
        <v>46200</v>
      </c>
      <c r="B437">
        <v>1445</v>
      </c>
      <c r="C437">
        <v>1495</v>
      </c>
    </row>
    <row r="438" spans="1:3" x14ac:dyDescent="0.25">
      <c r="A438" s="1">
        <v>46203</v>
      </c>
      <c r="B438">
        <v>1450</v>
      </c>
      <c r="C438">
        <v>1500</v>
      </c>
    </row>
    <row r="439" spans="1:3" x14ac:dyDescent="0.25">
      <c r="A439" s="1">
        <v>46199</v>
      </c>
      <c r="B439">
        <v>1445</v>
      </c>
      <c r="C439">
        <v>1495</v>
      </c>
    </row>
    <row r="440" spans="1:3" x14ac:dyDescent="0.25">
      <c r="A440" s="1">
        <v>46206</v>
      </c>
      <c r="B440">
        <v>1460</v>
      </c>
      <c r="C440">
        <v>1510</v>
      </c>
    </row>
    <row r="441" spans="1:3" x14ac:dyDescent="0.25">
      <c r="A441" s="1">
        <v>46185</v>
      </c>
      <c r="B441">
        <v>1400</v>
      </c>
      <c r="C441">
        <v>1450</v>
      </c>
    </row>
    <row r="442" spans="1:3" x14ac:dyDescent="0.25">
      <c r="A442" s="1">
        <v>46210</v>
      </c>
      <c r="B442">
        <v>1465</v>
      </c>
      <c r="C442">
        <v>1515</v>
      </c>
    </row>
    <row r="443" spans="1:3" x14ac:dyDescent="0.25">
      <c r="A443" s="1">
        <v>46209</v>
      </c>
      <c r="B443">
        <v>1460</v>
      </c>
      <c r="C443">
        <v>1510</v>
      </c>
    </row>
    <row r="444" spans="1:3" x14ac:dyDescent="0.25">
      <c r="A444" s="1">
        <v>46213</v>
      </c>
      <c r="B444">
        <v>1460</v>
      </c>
      <c r="C444">
        <v>1510</v>
      </c>
    </row>
    <row r="445" spans="1:3" x14ac:dyDescent="0.25">
      <c r="A445" s="1">
        <v>46215</v>
      </c>
      <c r="B445">
        <v>1460</v>
      </c>
      <c r="C445">
        <v>1510</v>
      </c>
    </row>
    <row r="446" spans="1:3" x14ac:dyDescent="0.25">
      <c r="A446" s="1">
        <v>46211</v>
      </c>
      <c r="B446">
        <v>1460</v>
      </c>
      <c r="C446">
        <v>1510</v>
      </c>
    </row>
    <row r="447" spans="1:3" x14ac:dyDescent="0.25">
      <c r="A447" s="1">
        <v>46208</v>
      </c>
      <c r="B447">
        <v>1460</v>
      </c>
      <c r="C447">
        <v>1510</v>
      </c>
    </row>
    <row r="448" spans="1:3" x14ac:dyDescent="0.25">
      <c r="A448" s="1">
        <v>46173</v>
      </c>
      <c r="B448">
        <v>1380</v>
      </c>
      <c r="C448">
        <v>1430</v>
      </c>
    </row>
    <row r="449" spans="1:3" x14ac:dyDescent="0.25">
      <c r="A449" s="1">
        <v>46207</v>
      </c>
      <c r="B449">
        <v>1460</v>
      </c>
      <c r="C449">
        <v>1510</v>
      </c>
    </row>
    <row r="450" spans="1:3" x14ac:dyDescent="0.25">
      <c r="A450" s="1">
        <v>45742</v>
      </c>
      <c r="B450">
        <v>1051.5</v>
      </c>
      <c r="C450">
        <v>1091.5</v>
      </c>
    </row>
    <row r="451" spans="1:3" x14ac:dyDescent="0.25">
      <c r="A451" s="1">
        <v>46227</v>
      </c>
      <c r="B451">
        <v>1470</v>
      </c>
      <c r="C451">
        <v>1520</v>
      </c>
    </row>
    <row r="452" spans="1:3" x14ac:dyDescent="0.25">
      <c r="A452" s="1">
        <v>46226</v>
      </c>
      <c r="B452">
        <v>1460</v>
      </c>
      <c r="C452">
        <v>1510</v>
      </c>
    </row>
    <row r="453" spans="1:3" x14ac:dyDescent="0.25">
      <c r="A453" s="1">
        <v>46225</v>
      </c>
      <c r="B453">
        <v>1455</v>
      </c>
      <c r="C453">
        <v>1505</v>
      </c>
    </row>
    <row r="454" spans="1:3" x14ac:dyDescent="0.25">
      <c r="A454" s="1">
        <v>46231</v>
      </c>
      <c r="B454">
        <v>1470</v>
      </c>
      <c r="C454">
        <v>1520</v>
      </c>
    </row>
    <row r="455" spans="1:3" x14ac:dyDescent="0.25">
      <c r="A455" s="1">
        <v>46241</v>
      </c>
      <c r="B455">
        <v>1470</v>
      </c>
      <c r="C455">
        <v>1520</v>
      </c>
    </row>
    <row r="456" spans="1:3" x14ac:dyDescent="0.25">
      <c r="A456" s="23">
        <v>46237</v>
      </c>
      <c r="B456">
        <v>1465</v>
      </c>
      <c r="C456">
        <v>1515</v>
      </c>
    </row>
    <row r="457" spans="1:3" x14ac:dyDescent="0.25">
      <c r="A457" s="23">
        <v>46245</v>
      </c>
      <c r="B457">
        <v>1465</v>
      </c>
      <c r="C457">
        <v>1515</v>
      </c>
    </row>
    <row r="458" spans="1:3" x14ac:dyDescent="0.25">
      <c r="A458" s="23">
        <v>46244</v>
      </c>
      <c r="B458">
        <v>1470</v>
      </c>
      <c r="C458">
        <v>1520</v>
      </c>
    </row>
    <row r="459" spans="1:3" x14ac:dyDescent="0.25">
      <c r="A459" s="23">
        <v>46240</v>
      </c>
      <c r="B459">
        <v>1470</v>
      </c>
      <c r="C459">
        <v>1520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Facturas</vt:lpstr>
      <vt:lpstr>Presupuesto vs Costo</vt:lpstr>
      <vt:lpstr>Cotizacion USD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2026-08-18T14:37:18Z</dcterms:modified>
</cp:coreProperties>
</file>